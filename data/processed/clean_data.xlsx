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apple-financial-analysis\data\processed\"/>
    </mc:Choice>
  </mc:AlternateContent>
  <xr:revisionPtr revIDLastSave="0" documentId="13_ncr:1_{E2837DD0-B56F-43E4-A4B0-DC4FE38F50D1}" xr6:coauthVersionLast="47" xr6:coauthVersionMax="47" xr10:uidLastSave="{00000000-0000-0000-0000-000000000000}"/>
  <bookViews>
    <workbookView xWindow="-108" yWindow="-108" windowWidth="23256" windowHeight="12576" activeTab="1" xr2:uid="{8C12F715-ABC6-41E1-8B1A-9599A001D254}"/>
  </bookViews>
  <sheets>
    <sheet name="Notes" sheetId="2" r:id="rId1"/>
    <sheet name="Insights" sheetId="3" r:id="rId2"/>
    <sheet name="Apple_SEC_Data" sheetId="1" r:id="rId3"/>
    <sheet name="Forecast" sheetId="7" r:id="rId4"/>
    <sheet name="Tableau_Dashboard" sheetId="6" r:id="rId5"/>
    <sheet name="Attribution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6" l="1"/>
  <c r="J12" i="6"/>
  <c r="E12" i="6"/>
  <c r="F12" i="6" s="1"/>
  <c r="J11" i="6"/>
  <c r="E11" i="6"/>
  <c r="F11" i="6" s="1"/>
  <c r="J10" i="6"/>
  <c r="E10" i="6"/>
  <c r="G10" i="6" s="1"/>
  <c r="J9" i="6"/>
  <c r="E9" i="6"/>
  <c r="M9" i="6" s="1"/>
  <c r="J8" i="6"/>
  <c r="E8" i="6"/>
  <c r="G8" i="6" s="1"/>
  <c r="E7" i="6"/>
  <c r="G7" i="6" s="1"/>
  <c r="I7" i="6"/>
  <c r="J7" i="6" s="1"/>
  <c r="H7" i="6"/>
  <c r="L3" i="6"/>
  <c r="L4" i="6"/>
  <c r="L5" i="6"/>
  <c r="L6" i="6"/>
  <c r="L2" i="6"/>
  <c r="J3" i="6"/>
  <c r="J4" i="6"/>
  <c r="J5" i="6"/>
  <c r="J6" i="6"/>
  <c r="K6" i="6" s="1"/>
  <c r="J2" i="6"/>
  <c r="I3" i="6"/>
  <c r="I4" i="6"/>
  <c r="I5" i="6"/>
  <c r="I6" i="6"/>
  <c r="I2" i="6"/>
  <c r="H3" i="6"/>
  <c r="H4" i="6"/>
  <c r="H5" i="6"/>
  <c r="H6" i="6"/>
  <c r="H2" i="6"/>
  <c r="E3" i="6"/>
  <c r="E4" i="6"/>
  <c r="E5" i="6"/>
  <c r="E6" i="6"/>
  <c r="E2" i="6"/>
  <c r="C3" i="6"/>
  <c r="C4" i="6"/>
  <c r="C5" i="6"/>
  <c r="C6" i="6"/>
  <c r="F6" i="6" s="1"/>
  <c r="C2" i="6"/>
  <c r="D3" i="6"/>
  <c r="D4" i="6"/>
  <c r="D5" i="6"/>
  <c r="D6" i="6"/>
  <c r="G6" i="6" s="1"/>
  <c r="D2" i="6"/>
  <c r="C23" i="7"/>
  <c r="E23" i="7"/>
  <c r="B40" i="7"/>
  <c r="B39" i="7"/>
  <c r="B41" i="7" s="1"/>
  <c r="B30" i="7"/>
  <c r="B29" i="7"/>
  <c r="C10" i="7"/>
  <c r="C22" i="7" s="1"/>
  <c r="E22" i="7" s="1"/>
  <c r="C9" i="7"/>
  <c r="C21" i="7" s="1"/>
  <c r="E21" i="7" s="1"/>
  <c r="C8" i="7"/>
  <c r="C20" i="7" s="1"/>
  <c r="E20" i="7" s="1"/>
  <c r="C7" i="7"/>
  <c r="C19" i="7" s="1"/>
  <c r="E19" i="7" s="1"/>
  <c r="C6" i="7"/>
  <c r="C18" i="7" s="1"/>
  <c r="E18" i="7" s="1"/>
  <c r="C5" i="7"/>
  <c r="C17" i="7" s="1"/>
  <c r="E17" i="7" s="1"/>
  <c r="D17" i="1"/>
  <c r="D18" i="1"/>
  <c r="D19" i="1"/>
  <c r="D20" i="1"/>
  <c r="D16" i="1"/>
  <c r="D7" i="1"/>
  <c r="H17" i="1" s="1"/>
  <c r="D8" i="1"/>
  <c r="F8" i="1" s="1"/>
  <c r="D9" i="1"/>
  <c r="F9" i="1" s="1"/>
  <c r="D10" i="1"/>
  <c r="I20" i="1" s="1"/>
  <c r="D6" i="1"/>
  <c r="I16" i="1" s="1"/>
  <c r="G17" i="1"/>
  <c r="G18" i="1"/>
  <c r="G19" i="1"/>
  <c r="G20" i="1"/>
  <c r="G16" i="1"/>
  <c r="F17" i="1"/>
  <c r="F18" i="1"/>
  <c r="F19" i="1"/>
  <c r="F20" i="1"/>
  <c r="F16" i="1"/>
  <c r="G7" i="1"/>
  <c r="H7" i="1"/>
  <c r="G8" i="1"/>
  <c r="H8" i="1"/>
  <c r="G9" i="1"/>
  <c r="H9" i="1"/>
  <c r="G10" i="1"/>
  <c r="H10" i="1"/>
  <c r="G5" i="6" l="1"/>
  <c r="G2" i="6"/>
  <c r="G3" i="6"/>
  <c r="F7" i="6"/>
  <c r="M6" i="6"/>
  <c r="F5" i="6"/>
  <c r="M4" i="6"/>
  <c r="K5" i="6"/>
  <c r="K9" i="6"/>
  <c r="F2" i="6"/>
  <c r="F3" i="6"/>
  <c r="K4" i="6"/>
  <c r="K3" i="6"/>
  <c r="M3" i="6"/>
  <c r="M11" i="6"/>
  <c r="M2" i="6"/>
  <c r="M5" i="6"/>
  <c r="G9" i="6"/>
  <c r="K8" i="6"/>
  <c r="K10" i="6"/>
  <c r="F4" i="6"/>
  <c r="G4" i="6"/>
  <c r="F8" i="6"/>
  <c r="M8" i="6"/>
  <c r="F10" i="6"/>
  <c r="M10" i="6"/>
  <c r="K12" i="6"/>
  <c r="K7" i="6"/>
  <c r="F9" i="6"/>
  <c r="K11" i="6"/>
  <c r="M12" i="6"/>
  <c r="G12" i="6"/>
  <c r="G11" i="6"/>
  <c r="D68" i="7"/>
  <c r="B44" i="7"/>
  <c r="B31" i="7"/>
  <c r="B45" i="7" s="1"/>
  <c r="B34" i="7"/>
  <c r="B50" i="7"/>
  <c r="B33" i="7"/>
  <c r="B43" i="7"/>
  <c r="B51" i="7"/>
  <c r="C29" i="7"/>
  <c r="C30" i="7"/>
  <c r="E6" i="1"/>
  <c r="F7" i="1"/>
  <c r="E7" i="1"/>
  <c r="F6" i="1"/>
  <c r="I17" i="1"/>
  <c r="H18" i="1"/>
  <c r="E8" i="1"/>
  <c r="I19" i="1"/>
  <c r="E9" i="1"/>
  <c r="H19" i="1"/>
  <c r="I18" i="1"/>
  <c r="F10" i="1"/>
  <c r="E10" i="1"/>
  <c r="H20" i="1"/>
  <c r="H16" i="1"/>
  <c r="I8" i="1"/>
  <c r="I10" i="1"/>
  <c r="I9" i="1"/>
  <c r="I7" i="1"/>
  <c r="D29" i="7" l="1"/>
  <c r="D39" i="7" s="1"/>
  <c r="D43" i="7" s="1"/>
  <c r="D30" i="7"/>
  <c r="D40" i="7" s="1"/>
  <c r="D44" i="7" s="1"/>
  <c r="C31" i="7"/>
  <c r="C40" i="7"/>
  <c r="B62" i="7"/>
  <c r="B54" i="7"/>
  <c r="B56" i="7" s="1"/>
  <c r="B58" i="7" s="1"/>
  <c r="B59" i="7" s="1"/>
  <c r="B60" i="7" s="1"/>
  <c r="C39" i="7"/>
  <c r="D31" i="7" l="1"/>
  <c r="D50" i="7" s="1"/>
  <c r="D41" i="7"/>
  <c r="D51" i="7" s="1"/>
  <c r="C44" i="7"/>
  <c r="C43" i="7"/>
  <c r="C33" i="7"/>
  <c r="C50" i="7"/>
  <c r="C34" i="7"/>
  <c r="C41" i="7"/>
  <c r="B63" i="7"/>
  <c r="D33" i="7" l="1"/>
  <c r="D67" i="7" s="1"/>
  <c r="D69" i="7" s="1"/>
  <c r="D45" i="7"/>
  <c r="D71" i="7" s="1"/>
  <c r="D34" i="7"/>
  <c r="D62" i="7"/>
  <c r="C53" i="7"/>
  <c r="C52" i="7"/>
  <c r="D52" i="7"/>
  <c r="D53" i="7"/>
  <c r="C45" i="7"/>
  <c r="C51" i="7"/>
  <c r="D72" i="7" l="1"/>
  <c r="C54" i="7"/>
  <c r="C56" i="7" s="1"/>
  <c r="C58" i="7" s="1"/>
  <c r="D54" i="7"/>
  <c r="D56" i="7" s="1"/>
  <c r="D58" i="7" s="1"/>
  <c r="C62" i="7"/>
  <c r="C59" i="7" l="1"/>
  <c r="C60" i="7" s="1"/>
  <c r="D59" i="7"/>
  <c r="D60" i="7" s="1"/>
  <c r="D63" i="7" s="1"/>
  <c r="C63" i="7" l="1"/>
  <c r="M7" i="6"/>
</calcChain>
</file>

<file path=xl/sharedStrings.xml><?xml version="1.0" encoding="utf-8"?>
<sst xmlns="http://schemas.openxmlformats.org/spreadsheetml/2006/main" count="207" uniqueCount="154">
  <si>
    <t>Year</t>
  </si>
  <si>
    <t>Services</t>
  </si>
  <si>
    <t>Total Revenue</t>
  </si>
  <si>
    <t>Total Revenue Growth %</t>
  </si>
  <si>
    <t>Section 1: Revenue Growth</t>
  </si>
  <si>
    <t>rce</t>
  </si>
  <si>
    <t>Section 3: Revenue Mix Shift</t>
  </si>
  <si>
    <t>Section 4: Margin Implications</t>
  </si>
  <si>
    <t>Net Income</t>
  </si>
  <si>
    <t>Net Margin %</t>
  </si>
  <si>
    <t>Data Source Information</t>
  </si>
  <si>
    <r>
      <rPr>
        <sz val="11"/>
        <color theme="1"/>
        <rFont val="Calibri"/>
        <family val="2"/>
      </rPr>
      <t xml:space="preserve">• </t>
    </r>
    <r>
      <rPr>
        <b/>
        <sz val="11"/>
        <color theme="1"/>
        <rFont val="Calibri"/>
        <family val="2"/>
      </rPr>
      <t xml:space="preserve">Primary Source: </t>
    </r>
    <r>
      <rPr>
        <sz val="11"/>
        <color theme="1"/>
        <rFont val="Calibri"/>
        <family val="2"/>
      </rPr>
      <t>Apple Inc. Annual Reports (Form 10-K) for fiscal years 2021 to 2025.</t>
    </r>
  </si>
  <si>
    <t>Key Definitions and Methodology</t>
  </si>
  <si>
    <r>
      <t xml:space="preserve">• </t>
    </r>
    <r>
      <rPr>
        <b/>
        <sz val="11"/>
        <color theme="1"/>
        <rFont val="Calibri"/>
        <family val="2"/>
      </rPr>
      <t xml:space="preserve">Currency: </t>
    </r>
    <r>
      <rPr>
        <sz val="11"/>
        <color theme="1"/>
        <rFont val="Calibri"/>
        <family val="2"/>
      </rPr>
      <t>All figures are reported in Millions of USD ($).</t>
    </r>
  </si>
  <si>
    <r>
      <t xml:space="preserve">• </t>
    </r>
    <r>
      <rPr>
        <b/>
        <sz val="11"/>
        <color theme="1"/>
        <rFont val="Calibri"/>
        <family val="2"/>
      </rPr>
      <t xml:space="preserve">Access Method: </t>
    </r>
    <r>
      <rPr>
        <sz val="11"/>
        <color theme="1"/>
        <rFont val="Calibri"/>
        <family val="2"/>
      </rPr>
      <t>SEC EDGAR Database (sec.gov).</t>
    </r>
  </si>
  <si>
    <r>
      <t xml:space="preserve">• </t>
    </r>
    <r>
      <rPr>
        <b/>
        <sz val="11"/>
        <color theme="1"/>
        <rFont val="Calibri"/>
        <family val="2"/>
      </rPr>
      <t xml:space="preserve">Fiscal Year: </t>
    </r>
    <r>
      <rPr>
        <sz val="11"/>
        <color theme="1"/>
        <rFont val="Calibri"/>
        <family val="2"/>
      </rPr>
      <t>Apple's fiscal year ends on the last Saturday of September (e.g, FY2025 ended Sept 27, 2025.</t>
    </r>
  </si>
  <si>
    <t xml:space="preserve">    Services (Includes App Store, Apple Music, iCloud, Apple Pay, and Apple TV+).</t>
  </si>
  <si>
    <r>
      <t xml:space="preserve">• </t>
    </r>
    <r>
      <rPr>
        <b/>
        <sz val="11"/>
        <color theme="1"/>
        <rFont val="Calibri"/>
        <family val="2"/>
      </rPr>
      <t>Extraction Point:</t>
    </r>
    <r>
      <rPr>
        <sz val="11"/>
        <color theme="1"/>
        <rFont val="Calibri"/>
        <family val="2"/>
      </rPr>
      <t xml:space="preserve"> Data sourced from the Condensed Consolidated Statements of Operations</t>
    </r>
  </si>
  <si>
    <t>Base</t>
  </si>
  <si>
    <t>Products</t>
  </si>
  <si>
    <t>Services (Revenue Contribution) %</t>
  </si>
  <si>
    <t>Products (Revenue Contribution) %</t>
  </si>
  <si>
    <t>Services Revenue Growth %</t>
  </si>
  <si>
    <t>Products Revenue Growth %</t>
  </si>
  <si>
    <t>Services Gross Margin %</t>
  </si>
  <si>
    <t>Products Gross Margin %</t>
  </si>
  <si>
    <t>Services Gross Profit</t>
  </si>
  <si>
    <t>Products Gross Profit</t>
  </si>
  <si>
    <t>Total Gross Margin %</t>
  </si>
  <si>
    <t>Total Gross Profit</t>
  </si>
  <si>
    <t>Table 1:</t>
  </si>
  <si>
    <t>Table 2:</t>
  </si>
  <si>
    <t>Revenue</t>
  </si>
  <si>
    <t>Margin</t>
  </si>
  <si>
    <r>
      <t>•</t>
    </r>
    <r>
      <rPr>
        <b/>
        <sz val="11"/>
        <color theme="1"/>
        <rFont val="Calibri"/>
        <family val="2"/>
      </rPr>
      <t xml:space="preserve"> Gross Margin (%) Calculation:</t>
    </r>
    <r>
      <rPr>
        <sz val="11"/>
        <color theme="1"/>
        <rFont val="Calibri"/>
        <family val="2"/>
      </rPr>
      <t xml:space="preserve"> Calculated as Gross Profit divided by Total Revenue.</t>
    </r>
  </si>
  <si>
    <r>
      <t xml:space="preserve">• </t>
    </r>
    <r>
      <rPr>
        <b/>
        <sz val="11"/>
        <color theme="1"/>
        <rFont val="Calibri"/>
        <family val="2"/>
      </rPr>
      <t>Net Margin (%) Calculation:</t>
    </r>
    <r>
      <rPr>
        <sz val="11"/>
        <color theme="1"/>
        <rFont val="Calibri"/>
        <family val="2"/>
      </rPr>
      <t xml:space="preserve"> Calculated as Net Income divided by Total Revenue.</t>
    </r>
  </si>
  <si>
    <t xml:space="preserve">    divided by Total Revenue.</t>
  </si>
  <si>
    <r>
      <t xml:space="preserve">• </t>
    </r>
    <r>
      <rPr>
        <b/>
        <sz val="11"/>
        <color theme="1"/>
        <rFont val="Calibri"/>
        <family val="2"/>
      </rPr>
      <t>Revenue Contribution (%):</t>
    </r>
    <r>
      <rPr>
        <sz val="11"/>
        <color theme="1"/>
        <rFont val="Calibri"/>
        <family val="2"/>
      </rPr>
      <t xml:space="preserve"> Services and Products Revenue Contribution calculated as segment revenue</t>
    </r>
  </si>
  <si>
    <t>Data Limitations</t>
  </si>
  <si>
    <t xml:space="preserve">• Analysis is based on reported financials only. Forecasts are illustrative and do not account for </t>
  </si>
  <si>
    <t xml:space="preserve">    macroeconomic shocks, regulatory changes, or product or service disruptions.</t>
  </si>
  <si>
    <r>
      <rPr>
        <b/>
        <sz val="11"/>
        <color theme="1"/>
        <rFont val="Calibri"/>
        <family val="2"/>
        <scheme val="minor"/>
      </rPr>
      <t xml:space="preserve">Analysis Conducted: </t>
    </r>
    <r>
      <rPr>
        <sz val="11"/>
        <color theme="1"/>
        <rFont val="Calibri"/>
        <family val="2"/>
        <scheme val="minor"/>
      </rPr>
      <t>April 2026.</t>
    </r>
  </si>
  <si>
    <t>Services CAGR</t>
  </si>
  <si>
    <t>Products CAGR</t>
  </si>
  <si>
    <t>Section 2: Products Trends</t>
  </si>
  <si>
    <t>All figures are in USD Millions</t>
  </si>
  <si>
    <t>Net Margin</t>
  </si>
  <si>
    <t>Financial Performance Analysis-Apple Inc.</t>
  </si>
  <si>
    <t xml:space="preserve">  (Income Statement) and the Products and Services Performance tables.</t>
  </si>
  <si>
    <r>
      <t xml:space="preserve">• </t>
    </r>
    <r>
      <rPr>
        <b/>
        <sz val="11"/>
        <color theme="1"/>
        <rFont val="Calibri"/>
        <family val="2"/>
      </rPr>
      <t xml:space="preserve">Segment Definitions: </t>
    </r>
    <r>
      <rPr>
        <sz val="11"/>
        <color theme="1"/>
        <rFont val="Calibri"/>
        <family val="2"/>
      </rPr>
      <t>Products (Includes iPhone, Mac, iPad, and Wearables/Home/Accessories)</t>
    </r>
  </si>
  <si>
    <t>Scenario  Model - Apple Inc. (2026-2027)</t>
  </si>
  <si>
    <t>Active Scenario:</t>
  </si>
  <si>
    <t>ASSUMPTION INPUTS</t>
  </si>
  <si>
    <t>Bear</t>
  </si>
  <si>
    <t>Bull</t>
  </si>
  <si>
    <t>Active</t>
  </si>
  <si>
    <t>Services Revenue Growth</t>
  </si>
  <si>
    <t>Products Revenue Growth</t>
  </si>
  <si>
    <r>
      <t>R</t>
    </r>
    <r>
      <rPr>
        <sz val="11"/>
        <color theme="1"/>
        <rFont val="Calibri"/>
        <family val="2"/>
      </rPr>
      <t>&amp;D as % of Revenue</t>
    </r>
  </si>
  <si>
    <r>
      <t>SG</t>
    </r>
    <r>
      <rPr>
        <sz val="11"/>
        <color theme="1"/>
        <rFont val="Calibri"/>
        <family val="2"/>
      </rPr>
      <t>&amp;A as % of Revenue</t>
    </r>
  </si>
  <si>
    <t>Effective Tax Rate</t>
  </si>
  <si>
    <r>
      <t>R</t>
    </r>
    <r>
      <rPr>
        <sz val="11"/>
        <color theme="1"/>
        <rFont val="Calibri"/>
        <family val="2"/>
      </rPr>
      <t>&amp;D % of Revenue</t>
    </r>
  </si>
  <si>
    <r>
      <t>SG</t>
    </r>
    <r>
      <rPr>
        <sz val="11"/>
        <color theme="1"/>
        <rFont val="Calibri"/>
        <family val="2"/>
      </rPr>
      <t>&amp;A % of Revenue</t>
    </r>
  </si>
  <si>
    <t>CAGR Calculation</t>
  </si>
  <si>
    <t>Formula</t>
  </si>
  <si>
    <t>Source</t>
  </si>
  <si>
    <r>
      <t xml:space="preserve">Apple 10-K FY2021 </t>
    </r>
    <r>
      <rPr>
        <sz val="11"/>
        <color theme="1"/>
        <rFont val="Calibri"/>
        <family val="2"/>
      </rPr>
      <t>&amp; 2025, SEC EDGAR -  4 year CAGR</t>
    </r>
  </si>
  <si>
    <t>Apple 10-K FY2025, Income Statement (Services GP/Revenue)</t>
  </si>
  <si>
    <t>Apple 10-K FY2025, Income Statement (Products GP/Revenue)</t>
  </si>
  <si>
    <t>Apple 10-K FY2025, TABLE9 (hardcoded - not in clean_data)</t>
  </si>
  <si>
    <t>SECTION 2 - Revenue Forecast (USD Millions)</t>
  </si>
  <si>
    <t>Services Revenue</t>
  </si>
  <si>
    <t>Products Revenue</t>
  </si>
  <si>
    <t>Services Mix %</t>
  </si>
  <si>
    <t>Products Mix %</t>
  </si>
  <si>
    <t>SECTION 3 - Gross Profit Bridge (USD Millions</t>
  </si>
  <si>
    <t>Blended Gross Margin</t>
  </si>
  <si>
    <t>Blended Gross Margin %</t>
  </si>
  <si>
    <t>SECTION 4 - Income Statement Bridge (USD Millions)</t>
  </si>
  <si>
    <r>
      <t>Less: R</t>
    </r>
    <r>
      <rPr>
        <sz val="11"/>
        <color theme="1"/>
        <rFont val="Calibri"/>
        <family val="2"/>
      </rPr>
      <t>&amp;D</t>
    </r>
  </si>
  <si>
    <t>Less: SG&amp;A</t>
  </si>
  <si>
    <t>Total Opex</t>
  </si>
  <si>
    <t>EBIT (Operating Income)</t>
  </si>
  <si>
    <t>Less: Tax</t>
  </si>
  <si>
    <t>Gross Margin %</t>
  </si>
  <si>
    <t>Other Income/(expense), net</t>
  </si>
  <si>
    <t>Pre-Tax income</t>
  </si>
  <si>
    <t>Apple 10-K FY2025, Tax Provision/Pre-Tax Income (20,719/132,729)</t>
  </si>
  <si>
    <t>Margin Attribution Analysis</t>
  </si>
  <si>
    <t>Services Mix Shift (2025 to 2027)</t>
  </si>
  <si>
    <t>Margin Spread (Services GM% minus Product GM%)</t>
  </si>
  <si>
    <t>Mix-driven Gross Margin Improvement (basis points)</t>
  </si>
  <si>
    <t>Total Gross Margin Improvement (2025 to 2027)</t>
  </si>
  <si>
    <t>Mix Effect  as % of Total Improvement</t>
  </si>
  <si>
    <t>Interpretation (Base Case):</t>
  </si>
  <si>
    <t>Services mix shift - no segment margin improvement assumed.</t>
  </si>
  <si>
    <t>100% of Gross Margin expansion is driven purely by:</t>
  </si>
  <si>
    <r>
      <t xml:space="preserve">• </t>
    </r>
    <r>
      <rPr>
        <b/>
        <sz val="11"/>
        <color theme="1"/>
        <rFont val="Calibri"/>
        <family val="2"/>
      </rPr>
      <t>Forecast Methodology:</t>
    </r>
    <r>
      <rPr>
        <sz val="11"/>
        <color theme="1"/>
        <rFont val="Calibri"/>
        <family val="2"/>
      </rPr>
      <t xml:space="preserve"> Forecasts were derived using a segment-level driver-based income statement model with three  scenarios (Bear/</t>
    </r>
  </si>
  <si>
    <t xml:space="preserve">    Base/Bull).</t>
  </si>
  <si>
    <t xml:space="preserve">    • Base Case growth rates derived from historical 4-year Compound Annual Growth Rate (CAGR) (FY2021-2025) sourced from SEC EDGAR</t>
  </si>
  <si>
    <t xml:space="preserve">     10-K filings.</t>
  </si>
  <si>
    <t xml:space="preserve">      </t>
  </si>
  <si>
    <t xml:space="preserve">    • Gross Margins anchored to FY2025 actual segment margins derived directly from the Income Statement.</t>
  </si>
  <si>
    <t xml:space="preserve">    • Opex assumptions (R&amp;D 8.30%, SG&amp;A 6.63%) derived from FY2025 10-K TABLE9 as percentage of total net sales.</t>
  </si>
  <si>
    <t xml:space="preserve">    • Bear/Bull scenarios reflect regulatory, macroeconomic and product cycle risks detailed in assumption rationale.</t>
  </si>
  <si>
    <t xml:space="preserve">    • Margin projections derived from segment-weighted blended margin model - not linear extrapolation. </t>
  </si>
  <si>
    <t>• Segment margin assumptions held constant across forecast period. Mix effect is isolated as the primary margin driver.</t>
  </si>
  <si>
    <t>Rationale</t>
  </si>
  <si>
    <t>Historical 4-year CAGR from SEC filings. Bear = EU App Store regulatory risk. Bull = expanding installed base monetization.</t>
  </si>
  <si>
    <t>Products peaked $316 B in 2022, declined to $307 B by 2025. Bear = China demand risk. Bull = new product categories.</t>
  </si>
  <si>
    <t>Derived from FY2025 10-K. Bear = pricing pressure. Bull = software mix improvement.</t>
  </si>
  <si>
    <t>Derived from FY2025 10-K. Bear = input cost inflation. Bull = supply chain optimization.</t>
  </si>
  <si>
    <t>FY2025 actual per TABLE9. Bear = increased AI investment. Bull = efficiency gains.</t>
  </si>
  <si>
    <t>FY2025 actual per TABLE9. Bear = higher marketing spend. Bull = operating leverage.</t>
  </si>
  <si>
    <t>FY2025 derived rate. Bear = unfavourable jurisdiction mix. Bull = tax optimizaton.</t>
  </si>
  <si>
    <t>Scenario</t>
  </si>
  <si>
    <t>Actual</t>
  </si>
  <si>
    <t>Driver</t>
  </si>
  <si>
    <t>Basis Points</t>
  </si>
  <si>
    <t>Mix Effect</t>
  </si>
  <si>
    <t>Segment Effect</t>
  </si>
  <si>
    <t>• Services Revenue grew at 12.39% 4-year CAGR (FY2021-2025), consistently outpacing total revenue growth of 3.28%, confirming Services as the primary growth</t>
  </si>
  <si>
    <t xml:space="preserve">    engine.</t>
  </si>
  <si>
    <t>• Products Revenue peaked at $316,199M in FY2022 before declining to $307,003M by FY2025 - a peak and decline pattern, not mere stagnation, signalling market</t>
  </si>
  <si>
    <t xml:space="preserve">   saturation in core hardware segments.</t>
  </si>
  <si>
    <t>• Total Revenue growth ranged from -2.80% to 7.79% annually, highlighting Apple's dependence on Services to offset hardware cyclicality.</t>
  </si>
  <si>
    <r>
      <rPr>
        <sz val="11"/>
        <color theme="1"/>
        <rFont val="Calibri"/>
        <family val="2"/>
      </rPr>
      <t>• Products</t>
    </r>
    <r>
      <rPr>
        <sz val="11"/>
        <color theme="1"/>
        <rFont val="Calibri"/>
        <family val="2"/>
        <scheme val="minor"/>
      </rPr>
      <t xml:space="preserve"> Revenue declined from its FY2022 peak of $316,199M to $307,003M in FY2025 - a 2.9% contraction over three years.</t>
    </r>
  </si>
  <si>
    <t>• Bear Case projects further decline to $300,894M by 2027, reflecting China demand risk and absence of major upgrade cycles.</t>
  </si>
  <si>
    <t>• Bull Case projects modest recovery to $325,699M by FY2027, contingent on new product category launches and ASP expansion.</t>
  </si>
  <si>
    <t>• Services contribution to total revenue expanded from 18.70% in FY2021 to 26.23% in FY2025 - a 756 basis point structural shift.</t>
  </si>
  <si>
    <t>• Base Case projects Services mix reaching 30.65% by FY2027,  crossing the 30% threshold for the first time in Apple's history.</t>
  </si>
  <si>
    <t>• This shift reduces Apple's reliance on one-time hardware purchase cycles in favour of high-retention recurring revenue.</t>
  </si>
  <si>
    <t>• Services gross margin of 75.41% versus Products gross margin of 36.77% creates a 38.64 percentage point spread - every percentage point of Services mix shift</t>
  </si>
  <si>
    <t xml:space="preserve">    adds approximately 39 basis points to blended gross margin.</t>
  </si>
  <si>
    <t>• Blended gross margin expanded from 41.78% in FY2021 to 46.91% in FY2025, directly tracking the Services mix increase.</t>
  </si>
  <si>
    <t>• Base Case projects blended gross margin reaching 48.61% by FY2027, driven entirely by mix shift with segment margins held constant.</t>
  </si>
  <si>
    <t>• Margin Attribution Analysis confirms that in the Base Case, 100% of projected gross margin improvement (170 basis points) from FY2025 to FY2027 is attributable</t>
  </si>
  <si>
    <t xml:space="preserve">    purely to Services mix shift - not segment margin expansion.</t>
  </si>
  <si>
    <t>• Bear Case: Mix shift generates 133 bps of improvement but segment margin compression consumes 94 bps, resulting in only 39 bps net improvement - demonstrating</t>
  </si>
  <si>
    <t xml:space="preserve">    Services mix as adefensive margin buffer.</t>
  </si>
  <si>
    <t>• Bull Case: Mix shift contributes 175 basis points while segment margin expansion adds 232 bps, delivering 407 bps total improvement and Net Margin expanding to 31.37%</t>
  </si>
  <si>
    <t xml:space="preserve">    by FY2027.</t>
  </si>
  <si>
    <t>Section 5: Forecast</t>
  </si>
  <si>
    <t>• Forecast derived using segment-level driver-based income statement model - not linear extrapolation. Growth rates anchored to historical 4-year CAGRs from SEC</t>
  </si>
  <si>
    <t xml:space="preserve">    EDGAR filings.</t>
  </si>
  <si>
    <t>• Base Case: Total Revenue reaches $449,796M by FY2027, Net Income $127,571M Net Margin 28.36%.</t>
  </si>
  <si>
    <t>• Bear Case: Total Revenue reaches $428,216M, Net Income $114,470M, Net Margin 26.73% - marginally above FY2025 actual.</t>
  </si>
  <si>
    <t xml:space="preserve">• Bull Case: Total Revenue $470,061M Net Income $147,471M, Net Margin 31.37% - representing 32% growth from FY2025. </t>
  </si>
  <si>
    <t>• Scenarios reflect regulatory risk (EU App Store), China demand exposure, and installed base monetization opportunity respectively.</t>
  </si>
  <si>
    <t>Section 4.1: Attribution Analysis</t>
  </si>
  <si>
    <t>Executive Summary</t>
  </si>
  <si>
    <t>Apple's revenue mix shifted materially toward high-margin Services between FY2021-FY2025. While Products revenue plateaued after FY2022, Services sustained consolidated</t>
  </si>
  <si>
    <t>growth and expanded blended gross margins from 41.78% to 46.91%. Scenario forecasting suggests future margin expansion remains primarily dependent on continued Services</t>
  </si>
  <si>
    <t>monetization and installed base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</si>
</sst>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10" fontId="0" fillId="0" borderId="0" xfId="0" applyNumberFormat="1"/>
    <xf numFmtId="10" fontId="0" fillId="0" borderId="0" xfId="2" applyNumberFormat="1" applyFont="1"/>
    <xf numFmtId="2" fontId="0" fillId="0" borderId="0" xfId="0" applyNumberFormat="1"/>
    <xf numFmtId="2" fontId="2" fillId="0" borderId="0" xfId="0" applyNumberFormat="1" applyFont="1"/>
    <xf numFmtId="164" fontId="0" fillId="0" borderId="0" xfId="1" applyNumberFormat="1" applyFont="1"/>
    <xf numFmtId="164" fontId="5" fillId="0" borderId="0" xfId="1" applyNumberFormat="1" applyFont="1"/>
    <xf numFmtId="0" fontId="6" fillId="0" borderId="0" xfId="0" applyFont="1"/>
    <xf numFmtId="164" fontId="0" fillId="0" borderId="0" xfId="0" applyNumberFormat="1"/>
    <xf numFmtId="10" fontId="1" fillId="0" borderId="0" xfId="2" applyNumberFormat="1" applyFont="1"/>
    <xf numFmtId="3" fontId="0" fillId="0" borderId="0" xfId="0" applyNumberFormat="1"/>
    <xf numFmtId="0" fontId="7" fillId="0" borderId="0" xfId="0" applyFont="1"/>
    <xf numFmtId="9" fontId="5" fillId="0" borderId="0" xfId="0" applyNumberFormat="1" applyFont="1"/>
    <xf numFmtId="10" fontId="5" fillId="0" borderId="0" xfId="0" applyNumberFormat="1" applyFont="1"/>
    <xf numFmtId="164" fontId="5" fillId="0" borderId="0" xfId="0" applyNumberFormat="1" applyFont="1"/>
    <xf numFmtId="10" fontId="5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EE404B-368D-45A3-A3B8-592DF252666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355d28d-ce6c-422f-8d48-08390b56bf0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7859-E310-44A6-9BFC-7A44DDB03011}">
  <dimension ref="A1:A34"/>
  <sheetViews>
    <sheetView zoomScaleNormal="100" workbookViewId="0">
      <selection activeCell="A17" sqref="A17"/>
    </sheetView>
  </sheetViews>
  <sheetFormatPr defaultRowHeight="14.4" x14ac:dyDescent="0.3"/>
  <cols>
    <col min="1" max="1" width="115.44140625" bestFit="1" customWidth="1"/>
  </cols>
  <sheetData>
    <row r="1" spans="1:1" x14ac:dyDescent="0.3">
      <c r="A1" t="s">
        <v>41</v>
      </c>
    </row>
    <row r="3" spans="1:1" x14ac:dyDescent="0.3">
      <c r="A3" s="1" t="s">
        <v>10</v>
      </c>
    </row>
    <row r="5" spans="1:1" x14ac:dyDescent="0.3">
      <c r="A5" s="2" t="s">
        <v>11</v>
      </c>
    </row>
    <row r="6" spans="1:1" x14ac:dyDescent="0.3">
      <c r="A6" s="2" t="s">
        <v>17</v>
      </c>
    </row>
    <row r="7" spans="1:1" x14ac:dyDescent="0.3">
      <c r="A7" t="s">
        <v>48</v>
      </c>
    </row>
    <row r="8" spans="1:1" x14ac:dyDescent="0.3">
      <c r="A8" s="2" t="s">
        <v>14</v>
      </c>
    </row>
    <row r="10" spans="1:1" x14ac:dyDescent="0.3">
      <c r="A10" s="1" t="s">
        <v>12</v>
      </c>
    </row>
    <row r="12" spans="1:1" x14ac:dyDescent="0.3">
      <c r="A12" s="2" t="s">
        <v>13</v>
      </c>
    </row>
    <row r="13" spans="1:1" x14ac:dyDescent="0.3">
      <c r="A13" s="2" t="s">
        <v>15</v>
      </c>
    </row>
    <row r="14" spans="1:1" x14ac:dyDescent="0.3">
      <c r="A14" s="2" t="s">
        <v>49</v>
      </c>
    </row>
    <row r="15" spans="1:1" x14ac:dyDescent="0.3">
      <c r="A15" s="2" t="s">
        <v>16</v>
      </c>
    </row>
    <row r="16" spans="1:1" x14ac:dyDescent="0.3">
      <c r="A16" s="2" t="s">
        <v>34</v>
      </c>
    </row>
    <row r="17" spans="1:1" x14ac:dyDescent="0.3">
      <c r="A17" s="2" t="s">
        <v>35</v>
      </c>
    </row>
    <row r="18" spans="1:1" x14ac:dyDescent="0.3">
      <c r="A18" s="2" t="s">
        <v>37</v>
      </c>
    </row>
    <row r="19" spans="1:1" x14ac:dyDescent="0.3">
      <c r="A19" s="2" t="s">
        <v>36</v>
      </c>
    </row>
    <row r="20" spans="1:1" x14ac:dyDescent="0.3">
      <c r="A20" s="2"/>
    </row>
    <row r="21" spans="1:1" x14ac:dyDescent="0.3">
      <c r="A21" s="2" t="s">
        <v>97</v>
      </c>
    </row>
    <row r="22" spans="1:1" x14ac:dyDescent="0.3">
      <c r="A22" s="2" t="s">
        <v>98</v>
      </c>
    </row>
    <row r="23" spans="1:1" x14ac:dyDescent="0.3">
      <c r="A23" s="2" t="s">
        <v>99</v>
      </c>
    </row>
    <row r="24" spans="1:1" x14ac:dyDescent="0.3">
      <c r="A24" s="2" t="s">
        <v>100</v>
      </c>
    </row>
    <row r="25" spans="1:1" x14ac:dyDescent="0.3">
      <c r="A25" s="2" t="s">
        <v>102</v>
      </c>
    </row>
    <row r="26" spans="1:1" x14ac:dyDescent="0.3">
      <c r="A26" s="2" t="s">
        <v>103</v>
      </c>
    </row>
    <row r="27" spans="1:1" x14ac:dyDescent="0.3">
      <c r="A27" s="2" t="s">
        <v>104</v>
      </c>
    </row>
    <row r="28" spans="1:1" x14ac:dyDescent="0.3">
      <c r="A28" s="2" t="s">
        <v>105</v>
      </c>
    </row>
    <row r="29" spans="1:1" x14ac:dyDescent="0.3">
      <c r="A29" s="2" t="s">
        <v>101</v>
      </c>
    </row>
    <row r="30" spans="1:1" x14ac:dyDescent="0.3">
      <c r="A30" s="1" t="s">
        <v>38</v>
      </c>
    </row>
    <row r="32" spans="1:1" x14ac:dyDescent="0.3">
      <c r="A32" s="2" t="s">
        <v>39</v>
      </c>
    </row>
    <row r="33" spans="1:1" x14ac:dyDescent="0.3">
      <c r="A33" s="2" t="s">
        <v>40</v>
      </c>
    </row>
    <row r="34" spans="1:1" x14ac:dyDescent="0.3">
      <c r="A34" s="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9A81-E693-40E7-8FFA-DDC2E1D9A30D}">
  <dimension ref="B2:N53"/>
  <sheetViews>
    <sheetView tabSelected="1" zoomScaleNormal="100" workbookViewId="0">
      <selection activeCell="B42" sqref="B42"/>
    </sheetView>
  </sheetViews>
  <sheetFormatPr defaultRowHeight="14.4" x14ac:dyDescent="0.3"/>
  <cols>
    <col min="2" max="2" width="139.109375" bestFit="1" customWidth="1"/>
  </cols>
  <sheetData>
    <row r="2" spans="2:14" ht="15.6" x14ac:dyDescent="0.3">
      <c r="B2" s="9" t="s">
        <v>47</v>
      </c>
    </row>
    <row r="3" spans="2:14" ht="15.6" x14ac:dyDescent="0.3">
      <c r="B3" s="9"/>
    </row>
    <row r="4" spans="2:14" ht="15.6" x14ac:dyDescent="0.3">
      <c r="B4" s="9" t="s">
        <v>150</v>
      </c>
    </row>
    <row r="5" spans="2:14" ht="15.6" x14ac:dyDescent="0.3">
      <c r="B5" s="9"/>
    </row>
    <row r="6" spans="2:14" x14ac:dyDescent="0.3">
      <c r="B6" s="13" t="s">
        <v>151</v>
      </c>
    </row>
    <row r="7" spans="2:14" x14ac:dyDescent="0.3">
      <c r="B7" s="13" t="s">
        <v>152</v>
      </c>
    </row>
    <row r="8" spans="2:14" x14ac:dyDescent="0.3">
      <c r="B8" s="13" t="s">
        <v>153</v>
      </c>
    </row>
    <row r="9" spans="2:14" x14ac:dyDescent="0.3">
      <c r="B9" s="13"/>
    </row>
    <row r="10" spans="2:14" x14ac:dyDescent="0.3">
      <c r="B10" s="1" t="s">
        <v>4</v>
      </c>
    </row>
    <row r="12" spans="2:14" x14ac:dyDescent="0.3">
      <c r="B12" s="2" t="s">
        <v>121</v>
      </c>
    </row>
    <row r="13" spans="2:14" x14ac:dyDescent="0.3">
      <c r="B13" s="2" t="s">
        <v>122</v>
      </c>
    </row>
    <row r="14" spans="2:14" x14ac:dyDescent="0.3">
      <c r="B14" s="2" t="s">
        <v>123</v>
      </c>
    </row>
    <row r="15" spans="2:14" x14ac:dyDescent="0.3">
      <c r="B15" s="2" t="s">
        <v>124</v>
      </c>
    </row>
    <row r="16" spans="2:14" x14ac:dyDescent="0.3">
      <c r="B16" s="2" t="s">
        <v>125</v>
      </c>
      <c r="N16" t="s">
        <v>5</v>
      </c>
    </row>
    <row r="18" spans="2:2" x14ac:dyDescent="0.3">
      <c r="B18" s="1" t="s">
        <v>44</v>
      </c>
    </row>
    <row r="20" spans="2:2" x14ac:dyDescent="0.3">
      <c r="B20" t="s">
        <v>126</v>
      </c>
    </row>
    <row r="21" spans="2:2" x14ac:dyDescent="0.3">
      <c r="B21" s="2" t="s">
        <v>127</v>
      </c>
    </row>
    <row r="22" spans="2:2" x14ac:dyDescent="0.3">
      <c r="B22" s="2" t="s">
        <v>128</v>
      </c>
    </row>
    <row r="24" spans="2:2" x14ac:dyDescent="0.3">
      <c r="B24" s="1" t="s">
        <v>6</v>
      </c>
    </row>
    <row r="26" spans="2:2" x14ac:dyDescent="0.3">
      <c r="B26" s="2" t="s">
        <v>129</v>
      </c>
    </row>
    <row r="27" spans="2:2" x14ac:dyDescent="0.3">
      <c r="B27" s="2" t="s">
        <v>130</v>
      </c>
    </row>
    <row r="28" spans="2:2" x14ac:dyDescent="0.3">
      <c r="B28" s="2" t="s">
        <v>131</v>
      </c>
    </row>
    <row r="30" spans="2:2" x14ac:dyDescent="0.3">
      <c r="B30" s="1" t="s">
        <v>7</v>
      </c>
    </row>
    <row r="32" spans="2:2" x14ac:dyDescent="0.3">
      <c r="B32" s="2" t="s">
        <v>132</v>
      </c>
    </row>
    <row r="33" spans="2:2" x14ac:dyDescent="0.3">
      <c r="B33" t="s">
        <v>133</v>
      </c>
    </row>
    <row r="34" spans="2:2" x14ac:dyDescent="0.3">
      <c r="B34" s="2" t="s">
        <v>134</v>
      </c>
    </row>
    <row r="35" spans="2:2" x14ac:dyDescent="0.3">
      <c r="B35" s="2" t="s">
        <v>135</v>
      </c>
    </row>
    <row r="37" spans="2:2" x14ac:dyDescent="0.3">
      <c r="B37" s="1" t="s">
        <v>149</v>
      </c>
    </row>
    <row r="39" spans="2:2" x14ac:dyDescent="0.3">
      <c r="B39" s="2" t="s">
        <v>136</v>
      </c>
    </row>
    <row r="40" spans="2:2" x14ac:dyDescent="0.3">
      <c r="B40" s="2" t="s">
        <v>137</v>
      </c>
    </row>
    <row r="41" spans="2:2" x14ac:dyDescent="0.3">
      <c r="B41" s="2" t="s">
        <v>138</v>
      </c>
    </row>
    <row r="42" spans="2:2" x14ac:dyDescent="0.3">
      <c r="B42" s="2" t="s">
        <v>139</v>
      </c>
    </row>
    <row r="43" spans="2:2" x14ac:dyDescent="0.3">
      <c r="B43" s="2" t="s">
        <v>140</v>
      </c>
    </row>
    <row r="44" spans="2:2" x14ac:dyDescent="0.3">
      <c r="B44" s="2" t="s">
        <v>141</v>
      </c>
    </row>
    <row r="45" spans="2:2" x14ac:dyDescent="0.3">
      <c r="B45" s="2"/>
    </row>
    <row r="46" spans="2:2" x14ac:dyDescent="0.3">
      <c r="B46" s="1" t="s">
        <v>142</v>
      </c>
    </row>
    <row r="48" spans="2:2" x14ac:dyDescent="0.3">
      <c r="B48" s="2" t="s">
        <v>143</v>
      </c>
    </row>
    <row r="49" spans="2:2" x14ac:dyDescent="0.3">
      <c r="B49" s="2" t="s">
        <v>144</v>
      </c>
    </row>
    <row r="50" spans="2:2" x14ac:dyDescent="0.3">
      <c r="B50" s="2" t="s">
        <v>145</v>
      </c>
    </row>
    <row r="51" spans="2:2" x14ac:dyDescent="0.3">
      <c r="B51" s="2" t="s">
        <v>146</v>
      </c>
    </row>
    <row r="52" spans="2:2" x14ac:dyDescent="0.3">
      <c r="B52" s="2" t="s">
        <v>147</v>
      </c>
    </row>
    <row r="53" spans="2:2" x14ac:dyDescent="0.3">
      <c r="B53" s="2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1D75-2344-417F-A849-5BEE8648DD1F}">
  <dimension ref="A1:K20"/>
  <sheetViews>
    <sheetView zoomScaleNormal="100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2" max="2" width="18.109375" bestFit="1" customWidth="1"/>
    <col min="3" max="3" width="18.77734375" bestFit="1" customWidth="1"/>
    <col min="4" max="4" width="15.44140625" bestFit="1" customWidth="1"/>
    <col min="5" max="5" width="30.44140625" bestFit="1" customWidth="1"/>
    <col min="6" max="6" width="31.109375" bestFit="1" customWidth="1"/>
    <col min="7" max="7" width="24.44140625" bestFit="1" customWidth="1"/>
    <col min="8" max="8" width="25.109375" bestFit="1" customWidth="1"/>
    <col min="9" max="9" width="21.88671875" bestFit="1" customWidth="1"/>
    <col min="10" max="10" width="18.109375" bestFit="1" customWidth="1"/>
    <col min="11" max="11" width="18.77734375" style="5" bestFit="1" customWidth="1"/>
    <col min="12" max="12" width="15.44140625" bestFit="1" customWidth="1"/>
    <col min="13" max="13" width="10.77734375" bestFit="1" customWidth="1"/>
    <col min="14" max="14" width="21.44140625" bestFit="1" customWidth="1"/>
    <col min="15" max="15" width="22.109375" bestFit="1" customWidth="1"/>
    <col min="16" max="16" width="18.77734375" bestFit="1" customWidth="1"/>
    <col min="17" max="17" width="12.33203125" bestFit="1" customWidth="1"/>
  </cols>
  <sheetData>
    <row r="1" spans="1:11" x14ac:dyDescent="0.3">
      <c r="A1" s="1" t="s">
        <v>45</v>
      </c>
    </row>
    <row r="3" spans="1:11" x14ac:dyDescent="0.3">
      <c r="A3" s="1" t="s">
        <v>30</v>
      </c>
      <c r="B3" s="1" t="s">
        <v>32</v>
      </c>
    </row>
    <row r="4" spans="1:11" x14ac:dyDescent="0.3">
      <c r="A4" s="1"/>
      <c r="B4" s="1"/>
    </row>
    <row r="5" spans="1:11" x14ac:dyDescent="0.3">
      <c r="A5" s="1" t="s">
        <v>0</v>
      </c>
      <c r="B5" s="1" t="s">
        <v>1</v>
      </c>
      <c r="C5" s="1" t="s">
        <v>19</v>
      </c>
      <c r="D5" s="1" t="s">
        <v>2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3</v>
      </c>
    </row>
    <row r="6" spans="1:11" x14ac:dyDescent="0.3">
      <c r="A6">
        <v>2021</v>
      </c>
      <c r="B6" s="8">
        <v>68425</v>
      </c>
      <c r="C6" s="8">
        <v>297392</v>
      </c>
      <c r="D6" s="7">
        <f>B6+C6</f>
        <v>365817</v>
      </c>
      <c r="E6" s="4">
        <f>B6/D6</f>
        <v>0.18704707545029345</v>
      </c>
      <c r="F6" s="4">
        <f>C6/D6</f>
        <v>0.81295292454970658</v>
      </c>
    </row>
    <row r="7" spans="1:11" x14ac:dyDescent="0.3">
      <c r="A7">
        <v>2022</v>
      </c>
      <c r="B7" s="8">
        <v>78129</v>
      </c>
      <c r="C7" s="8">
        <v>316199</v>
      </c>
      <c r="D7" s="7">
        <f>B7+C7</f>
        <v>394328</v>
      </c>
      <c r="E7" s="4">
        <f>B7/D7</f>
        <v>0.19813201192915542</v>
      </c>
      <c r="F7" s="4">
        <f>C7/D7</f>
        <v>0.80186798807084458</v>
      </c>
      <c r="G7" s="4">
        <f t="shared" ref="G7:I10" si="0">(B7-B6)/B6</f>
        <v>0.14181951041286078</v>
      </c>
      <c r="H7" s="4">
        <f t="shared" si="0"/>
        <v>6.3239764351428418E-2</v>
      </c>
      <c r="I7" s="4">
        <f t="shared" si="0"/>
        <v>7.7937876041846058E-2</v>
      </c>
    </row>
    <row r="8" spans="1:11" x14ac:dyDescent="0.3">
      <c r="A8">
        <v>2023</v>
      </c>
      <c r="B8" s="8">
        <v>85200</v>
      </c>
      <c r="C8" s="8">
        <v>298085</v>
      </c>
      <c r="D8" s="7">
        <f>B8+C8</f>
        <v>383285</v>
      </c>
      <c r="E8" s="4">
        <f>B8/D8</f>
        <v>0.222288897295746</v>
      </c>
      <c r="F8" s="4">
        <f>C8/D8</f>
        <v>0.77771110270425403</v>
      </c>
      <c r="G8" s="4">
        <f t="shared" si="0"/>
        <v>9.0504166186691243E-2</v>
      </c>
      <c r="H8" s="4">
        <f t="shared" si="0"/>
        <v>-5.728670868661824E-2</v>
      </c>
      <c r="I8" s="4">
        <f t="shared" si="0"/>
        <v>-2.8004605303199367E-2</v>
      </c>
    </row>
    <row r="9" spans="1:11" x14ac:dyDescent="0.3">
      <c r="A9">
        <v>2024</v>
      </c>
      <c r="B9" s="8">
        <v>96169</v>
      </c>
      <c r="C9" s="8">
        <v>294866</v>
      </c>
      <c r="D9" s="7">
        <f>B9+C9</f>
        <v>391035</v>
      </c>
      <c r="E9" s="4">
        <f>B9/D9</f>
        <v>0.24593450714130449</v>
      </c>
      <c r="F9" s="4">
        <f>C9/D9</f>
        <v>0.75406549285869551</v>
      </c>
      <c r="G9" s="4">
        <f t="shared" si="0"/>
        <v>0.12874413145539906</v>
      </c>
      <c r="H9" s="4">
        <f t="shared" si="0"/>
        <v>-1.0798933190197427E-2</v>
      </c>
      <c r="I9" s="4">
        <f t="shared" si="0"/>
        <v>2.0219940775141214E-2</v>
      </c>
    </row>
    <row r="10" spans="1:11" x14ac:dyDescent="0.3">
      <c r="A10">
        <v>2025</v>
      </c>
      <c r="B10" s="8">
        <v>109158</v>
      </c>
      <c r="C10" s="8">
        <v>307003</v>
      </c>
      <c r="D10" s="7">
        <f>B10+C10</f>
        <v>416161</v>
      </c>
      <c r="E10" s="4">
        <f>B10/D10</f>
        <v>0.26229752427546071</v>
      </c>
      <c r="F10" s="4">
        <f>C10/D10</f>
        <v>0.73770247572453929</v>
      </c>
      <c r="G10" s="4">
        <f t="shared" si="0"/>
        <v>0.135064313864135</v>
      </c>
      <c r="H10" s="4">
        <f t="shared" si="0"/>
        <v>4.1161069774066868E-2</v>
      </c>
      <c r="I10" s="4">
        <f t="shared" si="0"/>
        <v>6.4255117828327393E-2</v>
      </c>
    </row>
    <row r="11" spans="1:11" x14ac:dyDescent="0.3">
      <c r="K11"/>
    </row>
    <row r="13" spans="1:11" x14ac:dyDescent="0.3">
      <c r="A13" s="1" t="s">
        <v>31</v>
      </c>
      <c r="B13" s="1" t="s">
        <v>33</v>
      </c>
    </row>
    <row r="14" spans="1:11" x14ac:dyDescent="0.3">
      <c r="A14" s="1"/>
      <c r="B14" s="1"/>
    </row>
    <row r="15" spans="1:11" x14ac:dyDescent="0.3">
      <c r="A15" s="1" t="s">
        <v>0</v>
      </c>
      <c r="B15" s="1" t="s">
        <v>26</v>
      </c>
      <c r="C15" s="6" t="s">
        <v>27</v>
      </c>
      <c r="D15" s="1" t="s">
        <v>29</v>
      </c>
      <c r="E15" s="1" t="s">
        <v>8</v>
      </c>
      <c r="F15" s="1" t="s">
        <v>24</v>
      </c>
      <c r="G15" s="1" t="s">
        <v>25</v>
      </c>
      <c r="H15" s="1" t="s">
        <v>28</v>
      </c>
      <c r="I15" s="1" t="s">
        <v>9</v>
      </c>
    </row>
    <row r="16" spans="1:11" x14ac:dyDescent="0.3">
      <c r="A16">
        <v>2021</v>
      </c>
      <c r="B16" s="8">
        <v>47710</v>
      </c>
      <c r="C16" s="8">
        <v>105126</v>
      </c>
      <c r="D16" s="7">
        <f>B16+C16</f>
        <v>152836</v>
      </c>
      <c r="E16" s="8">
        <v>94680</v>
      </c>
      <c r="F16" s="4">
        <f t="shared" ref="F16:H20" si="1">B16/B6</f>
        <v>0.69725977347460721</v>
      </c>
      <c r="G16" s="4">
        <f t="shared" si="1"/>
        <v>0.35349303276483562</v>
      </c>
      <c r="H16" s="4">
        <f t="shared" si="1"/>
        <v>0.41779359625167778</v>
      </c>
      <c r="I16" s="4">
        <f>E16/D6</f>
        <v>0.25881793355694238</v>
      </c>
    </row>
    <row r="17" spans="1:9" x14ac:dyDescent="0.3">
      <c r="A17">
        <v>2022</v>
      </c>
      <c r="B17" s="8">
        <v>56054</v>
      </c>
      <c r="C17" s="8">
        <v>114728</v>
      </c>
      <c r="D17" s="7">
        <f>B17+C17</f>
        <v>170782</v>
      </c>
      <c r="E17" s="8">
        <v>99803</v>
      </c>
      <c r="F17" s="4">
        <f t="shared" si="1"/>
        <v>0.71745446633132381</v>
      </c>
      <c r="G17" s="4">
        <f t="shared" si="1"/>
        <v>0.36283479707399452</v>
      </c>
      <c r="H17" s="4">
        <f t="shared" si="1"/>
        <v>0.43309630561360085</v>
      </c>
      <c r="I17" s="4">
        <f>E17/D7</f>
        <v>0.25309640705199732</v>
      </c>
    </row>
    <row r="18" spans="1:9" x14ac:dyDescent="0.3">
      <c r="A18">
        <v>2023</v>
      </c>
      <c r="B18" s="8">
        <v>60345</v>
      </c>
      <c r="C18" s="8">
        <v>108803</v>
      </c>
      <c r="D18" s="7">
        <f>B18+C18</f>
        <v>169148</v>
      </c>
      <c r="E18" s="8">
        <v>96995</v>
      </c>
      <c r="F18" s="4">
        <f t="shared" si="1"/>
        <v>0.70827464788732397</v>
      </c>
      <c r="G18" s="4">
        <f t="shared" si="1"/>
        <v>0.36500662562691849</v>
      </c>
      <c r="H18" s="4">
        <f t="shared" si="1"/>
        <v>0.44131129577207562</v>
      </c>
      <c r="I18" s="4">
        <f>E18/D8</f>
        <v>0.25306234264320282</v>
      </c>
    </row>
    <row r="19" spans="1:9" x14ac:dyDescent="0.3">
      <c r="A19">
        <v>2024</v>
      </c>
      <c r="B19" s="8">
        <v>71050</v>
      </c>
      <c r="C19" s="8">
        <v>109633</v>
      </c>
      <c r="D19" s="7">
        <f>B19+C19</f>
        <v>180683</v>
      </c>
      <c r="E19" s="8">
        <v>93736</v>
      </c>
      <c r="F19" s="4">
        <f t="shared" si="1"/>
        <v>0.7388035645582256</v>
      </c>
      <c r="G19" s="4">
        <f t="shared" si="1"/>
        <v>0.37180617636485724</v>
      </c>
      <c r="H19" s="4">
        <f t="shared" si="1"/>
        <v>0.46206349815233932</v>
      </c>
      <c r="I19" s="4">
        <f>E19/D9</f>
        <v>0.23971255769943867</v>
      </c>
    </row>
    <row r="20" spans="1:9" x14ac:dyDescent="0.3">
      <c r="A20">
        <v>2025</v>
      </c>
      <c r="B20" s="8">
        <v>82314</v>
      </c>
      <c r="C20" s="8">
        <v>112887</v>
      </c>
      <c r="D20" s="7">
        <f>B20+C20</f>
        <v>195201</v>
      </c>
      <c r="E20" s="8">
        <v>112010</v>
      </c>
      <c r="F20" s="4">
        <f t="shared" si="1"/>
        <v>0.75408124003737698</v>
      </c>
      <c r="G20" s="4">
        <f t="shared" si="1"/>
        <v>0.36770650449669873</v>
      </c>
      <c r="H20" s="4">
        <f t="shared" si="1"/>
        <v>0.46905164107160452</v>
      </c>
      <c r="I20" s="4">
        <f>E20/D10</f>
        <v>0.26915064121818238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0CB-E045-49CC-A452-551F93EBDF9D}">
  <dimension ref="A1:G76"/>
  <sheetViews>
    <sheetView zoomScaleNormal="100" workbookViewId="0">
      <selection activeCell="B13" sqref="B13"/>
    </sheetView>
  </sheetViews>
  <sheetFormatPr defaultRowHeight="14.4" x14ac:dyDescent="0.3"/>
  <cols>
    <col min="1" max="1" width="23.6640625" customWidth="1"/>
    <col min="2" max="2" width="11.33203125" bestFit="1" customWidth="1"/>
    <col min="3" max="3" width="11.44140625" customWidth="1"/>
    <col min="4" max="4" width="10.33203125" bestFit="1" customWidth="1"/>
  </cols>
  <sheetData>
    <row r="1" spans="1:7" ht="15.6" x14ac:dyDescent="0.3">
      <c r="A1" s="9" t="s">
        <v>50</v>
      </c>
    </row>
    <row r="3" spans="1:7" x14ac:dyDescent="0.3">
      <c r="A3" s="1" t="s">
        <v>63</v>
      </c>
      <c r="C3" s="1" t="s">
        <v>64</v>
      </c>
      <c r="E3" s="1" t="s">
        <v>65</v>
      </c>
    </row>
    <row r="5" spans="1:7" x14ac:dyDescent="0.3">
      <c r="A5" t="s">
        <v>42</v>
      </c>
      <c r="C5" s="4">
        <f>(Apple_SEC_Data!B10/Apple_SEC_Data!B6)^(1/4)-1</f>
        <v>0.12385476417353836</v>
      </c>
      <c r="E5" t="s">
        <v>66</v>
      </c>
    </row>
    <row r="6" spans="1:7" x14ac:dyDescent="0.3">
      <c r="A6" t="s">
        <v>43</v>
      </c>
      <c r="C6" s="4">
        <f>(Apple_SEC_Data!C10/Apple_SEC_Data!C6)^(1/4)-1</f>
        <v>7.9832943184907634E-3</v>
      </c>
      <c r="E6" t="s">
        <v>66</v>
      </c>
    </row>
    <row r="7" spans="1:7" x14ac:dyDescent="0.3">
      <c r="A7" t="s">
        <v>24</v>
      </c>
      <c r="B7" s="4"/>
      <c r="C7" s="4">
        <f>Apple_SEC_Data!B20/Apple_SEC_Data!B10</f>
        <v>0.75408124003737698</v>
      </c>
      <c r="E7" t="s">
        <v>67</v>
      </c>
    </row>
    <row r="8" spans="1:7" x14ac:dyDescent="0.3">
      <c r="A8" t="s">
        <v>25</v>
      </c>
      <c r="B8" s="4"/>
      <c r="C8" s="4">
        <f>Apple_SEC_Data!C20/Apple_SEC_Data!C10</f>
        <v>0.36770650449669873</v>
      </c>
      <c r="E8" t="s">
        <v>68</v>
      </c>
    </row>
    <row r="9" spans="1:7" x14ac:dyDescent="0.3">
      <c r="A9" t="s">
        <v>61</v>
      </c>
      <c r="B9" s="4"/>
      <c r="C9" s="4">
        <f>34550/Apple_SEC_Data!D10</f>
        <v>8.3020753987038676E-2</v>
      </c>
      <c r="E9" t="s">
        <v>69</v>
      </c>
    </row>
    <row r="10" spans="1:7" x14ac:dyDescent="0.3">
      <c r="A10" t="s">
        <v>62</v>
      </c>
      <c r="C10" s="4">
        <f>27601/Apple_SEC_Data!D10</f>
        <v>6.6322889458647019E-2</v>
      </c>
      <c r="E10" t="s">
        <v>69</v>
      </c>
    </row>
    <row r="11" spans="1:7" x14ac:dyDescent="0.3">
      <c r="A11" t="s">
        <v>60</v>
      </c>
      <c r="C11" s="17">
        <v>0.15609999999999999</v>
      </c>
      <c r="E11" t="s">
        <v>87</v>
      </c>
    </row>
    <row r="13" spans="1:7" x14ac:dyDescent="0.3">
      <c r="A13" s="1" t="s">
        <v>51</v>
      </c>
      <c r="B13" t="s">
        <v>18</v>
      </c>
    </row>
    <row r="15" spans="1:7" x14ac:dyDescent="0.3">
      <c r="A15" s="1" t="s">
        <v>52</v>
      </c>
      <c r="B15" s="1" t="s">
        <v>53</v>
      </c>
      <c r="C15" s="1" t="s">
        <v>18</v>
      </c>
      <c r="D15" s="1" t="s">
        <v>54</v>
      </c>
      <c r="E15" s="1" t="s">
        <v>55</v>
      </c>
      <c r="G15" s="1" t="s">
        <v>107</v>
      </c>
    </row>
    <row r="17" spans="1:7" x14ac:dyDescent="0.3">
      <c r="A17" t="s">
        <v>56</v>
      </c>
      <c r="B17" s="14">
        <v>0.08</v>
      </c>
      <c r="C17" s="3">
        <f t="shared" ref="C17:C22" si="0">C5</f>
        <v>0.12385476417353836</v>
      </c>
      <c r="D17" s="14">
        <v>0.15</v>
      </c>
      <c r="E17" s="4">
        <f>IF($B$13="Bear",B17,IF($B$13="Bull",D17,C17))</f>
        <v>0.12385476417353836</v>
      </c>
      <c r="G17" t="s">
        <v>108</v>
      </c>
    </row>
    <row r="18" spans="1:7" x14ac:dyDescent="0.3">
      <c r="A18" t="s">
        <v>57</v>
      </c>
      <c r="B18" s="14">
        <v>-0.01</v>
      </c>
      <c r="C18" s="3">
        <f t="shared" si="0"/>
        <v>7.9832943184907634E-3</v>
      </c>
      <c r="D18" s="14">
        <v>0.03</v>
      </c>
      <c r="E18" s="4">
        <f t="shared" ref="E18:E22" si="1">IF($B$13="Bear",B18,IF($B$13="Bull",D18,C18))</f>
        <v>7.9832943184907634E-3</v>
      </c>
      <c r="G18" t="s">
        <v>109</v>
      </c>
    </row>
    <row r="19" spans="1:7" x14ac:dyDescent="0.3">
      <c r="A19" t="s">
        <v>24</v>
      </c>
      <c r="B19" s="14">
        <v>0.74</v>
      </c>
      <c r="C19" s="3">
        <f t="shared" si="0"/>
        <v>0.75408124003737698</v>
      </c>
      <c r="D19" s="14">
        <v>0.78</v>
      </c>
      <c r="E19" s="4">
        <f t="shared" si="1"/>
        <v>0.75408124003737698</v>
      </c>
      <c r="G19" t="s">
        <v>110</v>
      </c>
    </row>
    <row r="20" spans="1:7" x14ac:dyDescent="0.3">
      <c r="A20" t="s">
        <v>25</v>
      </c>
      <c r="B20" s="14">
        <v>0.36</v>
      </c>
      <c r="C20" s="3">
        <f t="shared" si="0"/>
        <v>0.36770650449669873</v>
      </c>
      <c r="D20" s="14">
        <v>0.39</v>
      </c>
      <c r="E20" s="4">
        <f t="shared" si="1"/>
        <v>0.36770650449669873</v>
      </c>
      <c r="G20" t="s">
        <v>111</v>
      </c>
    </row>
    <row r="21" spans="1:7" x14ac:dyDescent="0.3">
      <c r="A21" t="s">
        <v>58</v>
      </c>
      <c r="B21" s="15">
        <v>8.2000000000000003E-2</v>
      </c>
      <c r="C21" s="3">
        <f t="shared" si="0"/>
        <v>8.3020753987038676E-2</v>
      </c>
      <c r="D21" s="15">
        <v>7.4999999999999997E-2</v>
      </c>
      <c r="E21" s="4">
        <f t="shared" si="1"/>
        <v>8.3020753987038676E-2</v>
      </c>
      <c r="G21" t="s">
        <v>112</v>
      </c>
    </row>
    <row r="22" spans="1:7" x14ac:dyDescent="0.3">
      <c r="A22" t="s">
        <v>59</v>
      </c>
      <c r="B22" s="15">
        <v>7.1999999999999995E-2</v>
      </c>
      <c r="C22" s="3">
        <f t="shared" si="0"/>
        <v>6.6322889458647019E-2</v>
      </c>
      <c r="D22" s="15">
        <v>6.5000000000000002E-2</v>
      </c>
      <c r="E22" s="4">
        <f t="shared" si="1"/>
        <v>6.6322889458647019E-2</v>
      </c>
      <c r="G22" t="s">
        <v>113</v>
      </c>
    </row>
    <row r="23" spans="1:7" x14ac:dyDescent="0.3">
      <c r="A23" t="s">
        <v>60</v>
      </c>
      <c r="B23" s="14">
        <v>0.16</v>
      </c>
      <c r="C23" s="3">
        <f>C11</f>
        <v>0.15609999999999999</v>
      </c>
      <c r="D23" s="14">
        <v>0.15</v>
      </c>
      <c r="E23" s="4">
        <f>IF($B$13="Bear",B23,IF($B$13="Bull",D23,C23))</f>
        <v>0.15609999999999999</v>
      </c>
      <c r="G23" t="s">
        <v>114</v>
      </c>
    </row>
    <row r="26" spans="1:7" x14ac:dyDescent="0.3">
      <c r="A26" s="1" t="s">
        <v>70</v>
      </c>
    </row>
    <row r="28" spans="1:7" x14ac:dyDescent="0.3">
      <c r="A28" t="s">
        <v>0</v>
      </c>
      <c r="B28">
        <v>2025</v>
      </c>
      <c r="C28">
        <v>2026</v>
      </c>
      <c r="D28">
        <v>2027</v>
      </c>
    </row>
    <row r="29" spans="1:7" x14ac:dyDescent="0.3">
      <c r="A29" t="s">
        <v>71</v>
      </c>
      <c r="B29" s="7">
        <f>Apple_SEC_Data!B10</f>
        <v>109158</v>
      </c>
      <c r="C29" s="10">
        <f>B29*(1+E17)</f>
        <v>122677.7383476551</v>
      </c>
      <c r="D29" s="10">
        <f>C29*(1+E17)</f>
        <v>137871.96070004697</v>
      </c>
    </row>
    <row r="30" spans="1:7" x14ac:dyDescent="0.3">
      <c r="A30" t="s">
        <v>72</v>
      </c>
      <c r="B30" s="7">
        <f>Apple_SEC_Data!C10</f>
        <v>307003</v>
      </c>
      <c r="C30" s="10">
        <f>B30*(1+E18)</f>
        <v>309453.89530565962</v>
      </c>
      <c r="D30" s="10">
        <f>C30*(1+E18)</f>
        <v>311924.35682988813</v>
      </c>
    </row>
    <row r="31" spans="1:7" x14ac:dyDescent="0.3">
      <c r="A31" t="s">
        <v>2</v>
      </c>
      <c r="B31" s="7">
        <f>SUM(B29,B30)</f>
        <v>416161</v>
      </c>
      <c r="C31" s="10">
        <f>SUM(C29,C30)</f>
        <v>432131.63365331473</v>
      </c>
      <c r="D31" s="10">
        <f>SUM(D29,D30)</f>
        <v>449796.3175299351</v>
      </c>
    </row>
    <row r="33" spans="1:4" x14ac:dyDescent="0.3">
      <c r="A33" t="s">
        <v>73</v>
      </c>
      <c r="B33" s="4">
        <f>B29/B31</f>
        <v>0.26229752427546071</v>
      </c>
      <c r="C33" s="4">
        <f>C29/C31</f>
        <v>0.28388974283256357</v>
      </c>
      <c r="D33" s="4">
        <f>D29/D31</f>
        <v>0.30652087473097472</v>
      </c>
    </row>
    <row r="34" spans="1:4" x14ac:dyDescent="0.3">
      <c r="A34" t="s">
        <v>74</v>
      </c>
      <c r="B34" s="4">
        <f>B30/B31</f>
        <v>0.73770247572453929</v>
      </c>
      <c r="C34" s="4">
        <f>C30/C31</f>
        <v>0.71611025716743637</v>
      </c>
      <c r="D34" s="4">
        <f>D30/D31</f>
        <v>0.69347912526902522</v>
      </c>
    </row>
    <row r="36" spans="1:4" x14ac:dyDescent="0.3">
      <c r="A36" s="1" t="s">
        <v>75</v>
      </c>
    </row>
    <row r="38" spans="1:4" x14ac:dyDescent="0.3">
      <c r="A38" t="s">
        <v>0</v>
      </c>
      <c r="B38">
        <v>2025</v>
      </c>
      <c r="C38">
        <v>2026</v>
      </c>
      <c r="D38">
        <v>2027</v>
      </c>
    </row>
    <row r="39" spans="1:4" x14ac:dyDescent="0.3">
      <c r="A39" t="s">
        <v>26</v>
      </c>
      <c r="B39" s="7">
        <f>Apple_SEC_Data!B20</f>
        <v>82314</v>
      </c>
      <c r="C39" s="10">
        <f>C29*E19</f>
        <v>92508.981058180638</v>
      </c>
      <c r="D39" s="10">
        <f>D29*E19</f>
        <v>103966.65909107593</v>
      </c>
    </row>
    <row r="40" spans="1:4" x14ac:dyDescent="0.3">
      <c r="A40" t="s">
        <v>27</v>
      </c>
      <c r="B40" s="7">
        <f>Apple_SEC_Data!C20</f>
        <v>112887</v>
      </c>
      <c r="C40" s="10">
        <f>C30*E20</f>
        <v>113788.21014573147</v>
      </c>
      <c r="D40" s="10">
        <f>D30*E20</f>
        <v>114696.61491729911</v>
      </c>
    </row>
    <row r="41" spans="1:4" x14ac:dyDescent="0.3">
      <c r="A41" t="s">
        <v>29</v>
      </c>
      <c r="B41" s="10">
        <f>SUM(B39,B40)</f>
        <v>195201</v>
      </c>
      <c r="C41" s="10">
        <f>SUM(C39,C40)</f>
        <v>206297.19120391211</v>
      </c>
      <c r="D41" s="10">
        <f>SUM(D39,D40)</f>
        <v>218663.27400837504</v>
      </c>
    </row>
    <row r="43" spans="1:4" x14ac:dyDescent="0.3">
      <c r="A43" t="s">
        <v>24</v>
      </c>
      <c r="B43" s="4">
        <f>B39/B29</f>
        <v>0.75408124003737698</v>
      </c>
      <c r="C43" s="4">
        <f>C39/C29</f>
        <v>0.75408124003737698</v>
      </c>
      <c r="D43" s="4">
        <f>D39/D29</f>
        <v>0.75408124003737698</v>
      </c>
    </row>
    <row r="44" spans="1:4" x14ac:dyDescent="0.3">
      <c r="A44" t="s">
        <v>25</v>
      </c>
      <c r="B44" s="4">
        <f>B40/B30</f>
        <v>0.36770650449669873</v>
      </c>
      <c r="C44" s="4">
        <f>C40/C30</f>
        <v>0.36770650449669873</v>
      </c>
      <c r="D44" s="4">
        <f t="shared" ref="D44:D45" si="2">D40/D30</f>
        <v>0.36770650449669873</v>
      </c>
    </row>
    <row r="45" spans="1:4" x14ac:dyDescent="0.3">
      <c r="A45" t="s">
        <v>77</v>
      </c>
      <c r="B45" s="3">
        <f>B41/B31</f>
        <v>0.46905164107160452</v>
      </c>
      <c r="C45" s="3">
        <f>C41/C31</f>
        <v>0.47739432880634164</v>
      </c>
      <c r="D45" s="4">
        <f t="shared" si="2"/>
        <v>0.48613842640857646</v>
      </c>
    </row>
    <row r="47" spans="1:4" x14ac:dyDescent="0.3">
      <c r="A47" s="1" t="s">
        <v>78</v>
      </c>
    </row>
    <row r="49" spans="1:4" x14ac:dyDescent="0.3">
      <c r="A49" t="s">
        <v>0</v>
      </c>
      <c r="B49">
        <v>2025</v>
      </c>
      <c r="C49">
        <v>2026</v>
      </c>
      <c r="D49">
        <v>2027</v>
      </c>
    </row>
    <row r="50" spans="1:4" x14ac:dyDescent="0.3">
      <c r="A50" t="s">
        <v>2</v>
      </c>
      <c r="B50" s="10">
        <f>B31</f>
        <v>416161</v>
      </c>
      <c r="C50" s="10">
        <f>C31</f>
        <v>432131.63365331473</v>
      </c>
      <c r="D50" s="10">
        <f>D31</f>
        <v>449796.3175299351</v>
      </c>
    </row>
    <row r="51" spans="1:4" x14ac:dyDescent="0.3">
      <c r="A51" t="s">
        <v>29</v>
      </c>
      <c r="B51" s="10">
        <f>B41</f>
        <v>195201</v>
      </c>
      <c r="C51" s="10">
        <f t="shared" ref="C51:D51" si="3">C41</f>
        <v>206297.19120391211</v>
      </c>
      <c r="D51" s="10">
        <f t="shared" si="3"/>
        <v>218663.27400837504</v>
      </c>
    </row>
    <row r="52" spans="1:4" x14ac:dyDescent="0.3">
      <c r="A52" t="s">
        <v>79</v>
      </c>
      <c r="B52" s="16">
        <v>34550</v>
      </c>
      <c r="C52" s="10">
        <f>C50*E21</f>
        <v>35875.894047548965</v>
      </c>
      <c r="D52" s="10">
        <f>D50*E21</f>
        <v>37342.429421928675</v>
      </c>
    </row>
    <row r="53" spans="1:4" x14ac:dyDescent="0.3">
      <c r="A53" t="s">
        <v>80</v>
      </c>
      <c r="B53" s="16">
        <v>27601</v>
      </c>
      <c r="C53" s="10">
        <f>C50*E22</f>
        <v>28660.218570373341</v>
      </c>
      <c r="D53" s="10">
        <f>D50*E22</f>
        <v>29831.791446444378</v>
      </c>
    </row>
    <row r="54" spans="1:4" x14ac:dyDescent="0.3">
      <c r="A54" t="s">
        <v>81</v>
      </c>
      <c r="B54" s="10">
        <f>SUM(B52,B53)</f>
        <v>62151</v>
      </c>
      <c r="C54" s="10">
        <f>SUM(C52,C53)</f>
        <v>64536.112617922307</v>
      </c>
      <c r="D54" s="10">
        <f>SUM(D52,D53)</f>
        <v>67174.220868373057</v>
      </c>
    </row>
    <row r="56" spans="1:4" x14ac:dyDescent="0.3">
      <c r="A56" t="s">
        <v>82</v>
      </c>
      <c r="B56" s="10">
        <f>B51-B54</f>
        <v>133050</v>
      </c>
      <c r="C56" s="10">
        <f t="shared" ref="C56:D56" si="4">C51-C54</f>
        <v>141761.0785859898</v>
      </c>
      <c r="D56" s="10">
        <f t="shared" si="4"/>
        <v>151489.05314000198</v>
      </c>
    </row>
    <row r="57" spans="1:4" x14ac:dyDescent="0.3">
      <c r="A57" t="s">
        <v>85</v>
      </c>
      <c r="B57" s="16">
        <v>-321</v>
      </c>
      <c r="C57" s="16">
        <v>-321</v>
      </c>
      <c r="D57" s="16">
        <v>-321</v>
      </c>
    </row>
    <row r="58" spans="1:4" x14ac:dyDescent="0.3">
      <c r="A58" t="s">
        <v>86</v>
      </c>
      <c r="B58" s="10">
        <f>B56+B57</f>
        <v>132729</v>
      </c>
      <c r="C58" s="10">
        <f t="shared" ref="C58:D58" si="5">C56+C57</f>
        <v>141440.0785859898</v>
      </c>
      <c r="D58" s="10">
        <f t="shared" si="5"/>
        <v>151168.05314000198</v>
      </c>
    </row>
    <row r="59" spans="1:4" x14ac:dyDescent="0.3">
      <c r="A59" t="s">
        <v>83</v>
      </c>
      <c r="B59" s="10">
        <f>B58*E23</f>
        <v>20718.996899999998</v>
      </c>
      <c r="C59" s="10">
        <f>C58*E23</f>
        <v>22078.796267273006</v>
      </c>
      <c r="D59" s="10">
        <f>D58*E23</f>
        <v>23597.333095154307</v>
      </c>
    </row>
    <row r="60" spans="1:4" x14ac:dyDescent="0.3">
      <c r="A60" t="s">
        <v>8</v>
      </c>
      <c r="B60" s="10">
        <f>B58-B59</f>
        <v>112010.0031</v>
      </c>
      <c r="C60" s="10">
        <f t="shared" ref="C60:D60" si="6">C58-C59</f>
        <v>119361.2823187168</v>
      </c>
      <c r="D60" s="10">
        <f t="shared" si="6"/>
        <v>127570.72004484768</v>
      </c>
    </row>
    <row r="62" spans="1:4" x14ac:dyDescent="0.3">
      <c r="A62" t="s">
        <v>84</v>
      </c>
      <c r="B62" s="4">
        <f>B51/B50</f>
        <v>0.46905164107160452</v>
      </c>
      <c r="C62" s="4">
        <f t="shared" ref="C62:D62" si="7">C51/C50</f>
        <v>0.47739432880634164</v>
      </c>
      <c r="D62" s="4">
        <f t="shared" si="7"/>
        <v>0.48613842640857646</v>
      </c>
    </row>
    <row r="63" spans="1:4" x14ac:dyDescent="0.3">
      <c r="A63" t="s">
        <v>9</v>
      </c>
      <c r="B63" s="4">
        <f>B60/B50</f>
        <v>0.26915064866722255</v>
      </c>
      <c r="C63" s="4">
        <f t="shared" ref="C63:D63" si="8">C60/C50</f>
        <v>0.27621509980562198</v>
      </c>
      <c r="D63" s="4">
        <f t="shared" si="8"/>
        <v>0.28361886274526366</v>
      </c>
    </row>
    <row r="65" spans="1:4" x14ac:dyDescent="0.3">
      <c r="A65" s="1" t="s">
        <v>88</v>
      </c>
    </row>
    <row r="67" spans="1:4" x14ac:dyDescent="0.3">
      <c r="A67" t="s">
        <v>89</v>
      </c>
      <c r="D67" s="3">
        <f>D33-B33</f>
        <v>4.422335045551401E-2</v>
      </c>
    </row>
    <row r="68" spans="1:4" x14ac:dyDescent="0.3">
      <c r="A68" t="s">
        <v>90</v>
      </c>
      <c r="D68" s="3">
        <f>E19-E20</f>
        <v>0.38637473554067825</v>
      </c>
    </row>
    <row r="69" spans="1:4" x14ac:dyDescent="0.3">
      <c r="A69" t="s">
        <v>91</v>
      </c>
      <c r="D69">
        <f>D67*D68*10000</f>
        <v>170.86785336971957</v>
      </c>
    </row>
    <row r="71" spans="1:4" x14ac:dyDescent="0.3">
      <c r="A71" t="s">
        <v>92</v>
      </c>
      <c r="D71">
        <f>(D45-B45)*10000</f>
        <v>170.86785336971943</v>
      </c>
    </row>
    <row r="72" spans="1:4" x14ac:dyDescent="0.3">
      <c r="A72" t="s">
        <v>93</v>
      </c>
      <c r="D72" s="4">
        <f>D69/D71</f>
        <v>1.0000000000000009</v>
      </c>
    </row>
    <row r="74" spans="1:4" x14ac:dyDescent="0.3">
      <c r="A74" t="s">
        <v>94</v>
      </c>
    </row>
    <row r="75" spans="1:4" x14ac:dyDescent="0.3">
      <c r="A75" t="s">
        <v>96</v>
      </c>
    </row>
    <row r="76" spans="1:4" x14ac:dyDescent="0.3">
      <c r="A76" t="s">
        <v>95</v>
      </c>
    </row>
  </sheetData>
  <dataValidations count="1">
    <dataValidation type="list" allowBlank="1" showInputMessage="1" showErrorMessage="1" sqref="B13" xr:uid="{1E7E850A-BB31-4235-898F-057CDF9AFD99}">
      <formula1>"Bear, Base, Bull"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5F77-63B2-4920-B4FD-0EEAE0748717}">
  <dimension ref="A1:M12"/>
  <sheetViews>
    <sheetView workbookViewId="0">
      <selection activeCell="G20" sqref="G20"/>
    </sheetView>
  </sheetViews>
  <sheetFormatPr defaultRowHeight="14.4" x14ac:dyDescent="0.3"/>
  <cols>
    <col min="2" max="2" width="15.109375" bestFit="1" customWidth="1"/>
    <col min="3" max="3" width="17.88671875" bestFit="1" customWidth="1"/>
    <col min="4" max="5" width="16.33203125" bestFit="1" customWidth="1"/>
    <col min="6" max="6" width="13.33203125" bestFit="1" customWidth="1"/>
    <col min="7" max="7" width="14" bestFit="1" customWidth="1"/>
    <col min="8" max="8" width="18.109375" bestFit="1" customWidth="1"/>
    <col min="9" max="9" width="18.77734375" bestFit="1" customWidth="1"/>
    <col min="10" max="10" width="15.44140625" bestFit="1" customWidth="1"/>
    <col min="11" max="11" width="19.5546875" bestFit="1" customWidth="1"/>
    <col min="12" max="12" width="11.33203125" bestFit="1" customWidth="1"/>
    <col min="13" max="13" width="10.44140625" bestFit="1" customWidth="1"/>
  </cols>
  <sheetData>
    <row r="1" spans="1:13" x14ac:dyDescent="0.3">
      <c r="A1" s="1" t="s">
        <v>0</v>
      </c>
      <c r="B1" s="1" t="s">
        <v>115</v>
      </c>
      <c r="C1" s="1" t="s">
        <v>71</v>
      </c>
      <c r="D1" s="1" t="s">
        <v>72</v>
      </c>
      <c r="E1" s="1" t="s">
        <v>2</v>
      </c>
      <c r="F1" s="1" t="s">
        <v>73</v>
      </c>
      <c r="G1" s="1" t="s">
        <v>74</v>
      </c>
      <c r="H1" s="1" t="s">
        <v>26</v>
      </c>
      <c r="I1" s="1" t="s">
        <v>27</v>
      </c>
      <c r="J1" s="1" t="s">
        <v>29</v>
      </c>
      <c r="K1" s="1" t="s">
        <v>76</v>
      </c>
      <c r="L1" s="1" t="s">
        <v>8</v>
      </c>
      <c r="M1" s="1" t="s">
        <v>46</v>
      </c>
    </row>
    <row r="2" spans="1:13" x14ac:dyDescent="0.3">
      <c r="A2">
        <v>2021</v>
      </c>
      <c r="B2" t="s">
        <v>116</v>
      </c>
      <c r="C2" s="7">
        <f>Apple_SEC_Data!B6</f>
        <v>68425</v>
      </c>
      <c r="D2" s="7">
        <f>Apple_SEC_Data!C6</f>
        <v>297392</v>
      </c>
      <c r="E2" s="7">
        <f>Apple_SEC_Data!D6</f>
        <v>365817</v>
      </c>
      <c r="F2" s="4">
        <f t="shared" ref="F2:F12" si="0">C2/E2</f>
        <v>0.18704707545029345</v>
      </c>
      <c r="G2" s="11">
        <f>D2/E2</f>
        <v>0.81295292454970658</v>
      </c>
      <c r="H2" s="7">
        <f>Apple_SEC_Data!B16</f>
        <v>47710</v>
      </c>
      <c r="I2" s="7">
        <f>Apple_SEC_Data!C16</f>
        <v>105126</v>
      </c>
      <c r="J2" s="7">
        <f>Apple_SEC_Data!D16</f>
        <v>152836</v>
      </c>
      <c r="K2" s="4">
        <f>J2/E2</f>
        <v>0.41779359625167778</v>
      </c>
      <c r="L2" s="7">
        <f>Apple_SEC_Data!E16</f>
        <v>94680</v>
      </c>
      <c r="M2" s="4">
        <f>L2/E2</f>
        <v>0.25881793355694238</v>
      </c>
    </row>
    <row r="3" spans="1:13" x14ac:dyDescent="0.3">
      <c r="A3">
        <v>2022</v>
      </c>
      <c r="B3" s="4" t="s">
        <v>116</v>
      </c>
      <c r="C3" s="7">
        <f>Apple_SEC_Data!B7</f>
        <v>78129</v>
      </c>
      <c r="D3" s="7">
        <f>Apple_SEC_Data!C7</f>
        <v>316199</v>
      </c>
      <c r="E3" s="7">
        <f>Apple_SEC_Data!D7</f>
        <v>394328</v>
      </c>
      <c r="F3" s="4">
        <f t="shared" si="0"/>
        <v>0.19813201192915542</v>
      </c>
      <c r="G3" s="11">
        <f t="shared" ref="G3:G12" si="1">D3/E3</f>
        <v>0.80186798807084458</v>
      </c>
      <c r="H3" s="7">
        <f>Apple_SEC_Data!B17</f>
        <v>56054</v>
      </c>
      <c r="I3" s="7">
        <f>Apple_SEC_Data!C17</f>
        <v>114728</v>
      </c>
      <c r="J3" s="7">
        <f>Apple_SEC_Data!D17</f>
        <v>170782</v>
      </c>
      <c r="K3" s="4">
        <f t="shared" ref="K3:K5" si="2">J3/E3</f>
        <v>0.43309630561360085</v>
      </c>
      <c r="L3" s="7">
        <f>Apple_SEC_Data!E17</f>
        <v>99803</v>
      </c>
      <c r="M3" s="4">
        <f t="shared" ref="M3:M5" si="3">L3/E3</f>
        <v>0.25309640705199732</v>
      </c>
    </row>
    <row r="4" spans="1:13" x14ac:dyDescent="0.3">
      <c r="A4">
        <v>2023</v>
      </c>
      <c r="B4" s="4" t="s">
        <v>116</v>
      </c>
      <c r="C4" s="7">
        <f>Apple_SEC_Data!B8</f>
        <v>85200</v>
      </c>
      <c r="D4" s="7">
        <f>Apple_SEC_Data!C8</f>
        <v>298085</v>
      </c>
      <c r="E4" s="7">
        <f>Apple_SEC_Data!D8</f>
        <v>383285</v>
      </c>
      <c r="F4" s="4">
        <f t="shared" si="0"/>
        <v>0.222288897295746</v>
      </c>
      <c r="G4" s="11">
        <f t="shared" si="1"/>
        <v>0.77771110270425403</v>
      </c>
      <c r="H4" s="7">
        <f>Apple_SEC_Data!B18</f>
        <v>60345</v>
      </c>
      <c r="I4" s="7">
        <f>Apple_SEC_Data!C18</f>
        <v>108803</v>
      </c>
      <c r="J4" s="7">
        <f>Apple_SEC_Data!D18</f>
        <v>169148</v>
      </c>
      <c r="K4" s="4">
        <f t="shared" si="2"/>
        <v>0.44131129577207562</v>
      </c>
      <c r="L4" s="7">
        <f>Apple_SEC_Data!E18</f>
        <v>96995</v>
      </c>
      <c r="M4" s="4">
        <f t="shared" si="3"/>
        <v>0.25306234264320282</v>
      </c>
    </row>
    <row r="5" spans="1:13" x14ac:dyDescent="0.3">
      <c r="A5">
        <v>2024</v>
      </c>
      <c r="B5" s="4" t="s">
        <v>116</v>
      </c>
      <c r="C5" s="7">
        <f>Apple_SEC_Data!B9</f>
        <v>96169</v>
      </c>
      <c r="D5" s="7">
        <f>Apple_SEC_Data!C9</f>
        <v>294866</v>
      </c>
      <c r="E5" s="7">
        <f>Apple_SEC_Data!D9</f>
        <v>391035</v>
      </c>
      <c r="F5" s="4">
        <f t="shared" si="0"/>
        <v>0.24593450714130449</v>
      </c>
      <c r="G5" s="11">
        <f t="shared" si="1"/>
        <v>0.75406549285869551</v>
      </c>
      <c r="H5" s="7">
        <f>Apple_SEC_Data!B19</f>
        <v>71050</v>
      </c>
      <c r="I5" s="7">
        <f>Apple_SEC_Data!C19</f>
        <v>109633</v>
      </c>
      <c r="J5" s="7">
        <f>Apple_SEC_Data!D19</f>
        <v>180683</v>
      </c>
      <c r="K5" s="4">
        <f t="shared" si="2"/>
        <v>0.46206349815233932</v>
      </c>
      <c r="L5" s="7">
        <f>Apple_SEC_Data!E19</f>
        <v>93736</v>
      </c>
      <c r="M5" s="4">
        <f t="shared" si="3"/>
        <v>0.23971255769943867</v>
      </c>
    </row>
    <row r="6" spans="1:13" x14ac:dyDescent="0.3">
      <c r="A6">
        <v>2025</v>
      </c>
      <c r="B6" t="s">
        <v>116</v>
      </c>
      <c r="C6" s="7">
        <f>Apple_SEC_Data!B10</f>
        <v>109158</v>
      </c>
      <c r="D6" s="7">
        <f>Apple_SEC_Data!C10</f>
        <v>307003</v>
      </c>
      <c r="E6" s="7">
        <f>Apple_SEC_Data!D10</f>
        <v>416161</v>
      </c>
      <c r="F6" s="4">
        <f t="shared" si="0"/>
        <v>0.26229752427546071</v>
      </c>
      <c r="G6" s="11">
        <f t="shared" si="1"/>
        <v>0.73770247572453929</v>
      </c>
      <c r="H6" s="7">
        <f>Apple_SEC_Data!B20</f>
        <v>82314</v>
      </c>
      <c r="I6" s="7">
        <f>Apple_SEC_Data!C20</f>
        <v>112887</v>
      </c>
      <c r="J6" s="7">
        <f>Apple_SEC_Data!D20</f>
        <v>195201</v>
      </c>
      <c r="K6" s="4">
        <f t="shared" ref="K6:K12" si="4">J6/E6</f>
        <v>0.46905164107160452</v>
      </c>
      <c r="L6" s="7">
        <f>Apple_SEC_Data!E20</f>
        <v>112010</v>
      </c>
      <c r="M6" s="4">
        <f t="shared" ref="M6:M12" si="5">L6/E6</f>
        <v>0.26915064121818238</v>
      </c>
    </row>
    <row r="7" spans="1:13" x14ac:dyDescent="0.3">
      <c r="A7">
        <v>2026</v>
      </c>
      <c r="B7" t="s">
        <v>53</v>
      </c>
      <c r="C7" s="7">
        <v>117891</v>
      </c>
      <c r="D7" s="7">
        <v>303933</v>
      </c>
      <c r="E7" s="7">
        <f t="shared" ref="E7:E12" si="6">SUM(C7,D7)</f>
        <v>421824</v>
      </c>
      <c r="F7" s="3">
        <f t="shared" si="0"/>
        <v>0.27947911925352753</v>
      </c>
      <c r="G7" s="11">
        <f t="shared" si="1"/>
        <v>0.72052088074647247</v>
      </c>
      <c r="H7" s="7">
        <f>C7*0.74</f>
        <v>87239.34</v>
      </c>
      <c r="I7" s="7">
        <f>D7*0.36</f>
        <v>109415.87999999999</v>
      </c>
      <c r="J7" s="7">
        <f t="shared" ref="J7:J12" si="7">SUM(H7,I7)</f>
        <v>196655.21999999997</v>
      </c>
      <c r="K7" s="4">
        <f t="shared" si="4"/>
        <v>0.4662020653163404</v>
      </c>
      <c r="L7" s="7">
        <v>110353</v>
      </c>
      <c r="M7" s="4">
        <f t="shared" si="5"/>
        <v>0.26160910711576391</v>
      </c>
    </row>
    <row r="8" spans="1:13" x14ac:dyDescent="0.3">
      <c r="A8">
        <v>2026</v>
      </c>
      <c r="B8" t="s">
        <v>18</v>
      </c>
      <c r="C8" s="12">
        <v>122678</v>
      </c>
      <c r="D8" s="12">
        <v>309454</v>
      </c>
      <c r="E8" s="7">
        <f t="shared" si="6"/>
        <v>432132</v>
      </c>
      <c r="F8" s="3">
        <f t="shared" si="0"/>
        <v>0.28389010765229145</v>
      </c>
      <c r="G8" s="11">
        <f t="shared" si="1"/>
        <v>0.71610989234770861</v>
      </c>
      <c r="H8" s="7">
        <v>92509</v>
      </c>
      <c r="I8" s="12">
        <v>113788</v>
      </c>
      <c r="J8" s="7">
        <f t="shared" si="7"/>
        <v>206297</v>
      </c>
      <c r="K8" s="4">
        <f t="shared" si="4"/>
        <v>0.47739348162135642</v>
      </c>
      <c r="L8" s="12">
        <v>119361</v>
      </c>
      <c r="M8" s="4">
        <f t="shared" si="5"/>
        <v>0.27621421232401211</v>
      </c>
    </row>
    <row r="9" spans="1:13" x14ac:dyDescent="0.3">
      <c r="A9">
        <v>2026</v>
      </c>
      <c r="B9" t="s">
        <v>54</v>
      </c>
      <c r="C9" s="12">
        <v>125532</v>
      </c>
      <c r="D9" s="12">
        <v>316213</v>
      </c>
      <c r="E9" s="7">
        <f t="shared" si="6"/>
        <v>441745</v>
      </c>
      <c r="F9" s="3">
        <f t="shared" si="0"/>
        <v>0.28417299573283228</v>
      </c>
      <c r="G9" s="11">
        <f t="shared" si="1"/>
        <v>0.71582700426716772</v>
      </c>
      <c r="H9" s="12">
        <v>97915</v>
      </c>
      <c r="I9" s="12">
        <v>123323</v>
      </c>
      <c r="J9" s="7">
        <f t="shared" si="7"/>
        <v>221238</v>
      </c>
      <c r="K9" s="4">
        <f t="shared" si="4"/>
        <v>0.50082740042332119</v>
      </c>
      <c r="L9" s="12">
        <v>135212</v>
      </c>
      <c r="M9" s="4">
        <f t="shared" si="5"/>
        <v>0.30608609039151546</v>
      </c>
    </row>
    <row r="10" spans="1:13" x14ac:dyDescent="0.3">
      <c r="A10">
        <v>2027</v>
      </c>
      <c r="B10" t="s">
        <v>53</v>
      </c>
      <c r="C10" s="12">
        <v>127322</v>
      </c>
      <c r="D10" s="12">
        <v>300894</v>
      </c>
      <c r="E10" s="7">
        <f t="shared" si="6"/>
        <v>428216</v>
      </c>
      <c r="F10" s="3">
        <f t="shared" si="0"/>
        <v>0.29733125338614158</v>
      </c>
      <c r="G10" s="11">
        <f t="shared" si="1"/>
        <v>0.70266874661385847</v>
      </c>
      <c r="H10" s="12">
        <v>94218</v>
      </c>
      <c r="I10" s="12">
        <v>108322</v>
      </c>
      <c r="J10" s="7">
        <f t="shared" si="7"/>
        <v>202540</v>
      </c>
      <c r="K10" s="4">
        <f t="shared" si="4"/>
        <v>0.47298559605432772</v>
      </c>
      <c r="L10" s="12">
        <v>114470</v>
      </c>
      <c r="M10" s="4">
        <f t="shared" si="5"/>
        <v>0.26731836269546211</v>
      </c>
    </row>
    <row r="11" spans="1:13" x14ac:dyDescent="0.3">
      <c r="A11">
        <v>2027</v>
      </c>
      <c r="B11" t="s">
        <v>18</v>
      </c>
      <c r="C11" s="12">
        <v>137872</v>
      </c>
      <c r="D11" s="12">
        <v>311924</v>
      </c>
      <c r="E11" s="7">
        <f t="shared" si="6"/>
        <v>449796</v>
      </c>
      <c r="F11" s="3">
        <f t="shared" si="0"/>
        <v>0.30652117848980426</v>
      </c>
      <c r="G11" s="11">
        <f t="shared" si="1"/>
        <v>0.69347882151019569</v>
      </c>
      <c r="H11" s="12">
        <v>103967</v>
      </c>
      <c r="I11" s="12">
        <v>114697</v>
      </c>
      <c r="J11" s="7">
        <f t="shared" si="7"/>
        <v>218664</v>
      </c>
      <c r="K11" s="4">
        <f t="shared" si="4"/>
        <v>0.48614038364058371</v>
      </c>
      <c r="L11" s="12">
        <v>127571</v>
      </c>
      <c r="M11" s="4">
        <f t="shared" si="5"/>
        <v>0.28361968536847815</v>
      </c>
    </row>
    <row r="12" spans="1:13" x14ac:dyDescent="0.3">
      <c r="A12">
        <v>2027</v>
      </c>
      <c r="B12" t="s">
        <v>54</v>
      </c>
      <c r="C12" s="12">
        <v>144361</v>
      </c>
      <c r="D12" s="12">
        <v>325699</v>
      </c>
      <c r="E12" s="7">
        <f t="shared" si="6"/>
        <v>470060</v>
      </c>
      <c r="F12" s="3">
        <f t="shared" si="0"/>
        <v>0.30711185806067309</v>
      </c>
      <c r="G12" s="11">
        <f t="shared" si="1"/>
        <v>0.69288814193932691</v>
      </c>
      <c r="H12" s="12">
        <v>112602</v>
      </c>
      <c r="I12" s="12">
        <v>127023</v>
      </c>
      <c r="J12" s="7">
        <f t="shared" si="7"/>
        <v>239625</v>
      </c>
      <c r="K12" s="4">
        <f t="shared" si="4"/>
        <v>0.50977534782793688</v>
      </c>
      <c r="L12" s="12">
        <v>147471</v>
      </c>
      <c r="M12" s="4">
        <f t="shared" si="5"/>
        <v>0.31372803471897204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74AF-C69A-4987-AE48-21712F000BC2}">
  <dimension ref="A1:D7"/>
  <sheetViews>
    <sheetView workbookViewId="0">
      <selection activeCell="C7" sqref="C7"/>
    </sheetView>
  </sheetViews>
  <sheetFormatPr defaultRowHeight="14.4" x14ac:dyDescent="0.3"/>
  <cols>
    <col min="2" max="2" width="13.44140625" bestFit="1" customWidth="1"/>
    <col min="3" max="3" width="14.33203125" bestFit="1" customWidth="1"/>
    <col min="4" max="4" width="18.77734375" bestFit="1" customWidth="1"/>
  </cols>
  <sheetData>
    <row r="1" spans="1:4" x14ac:dyDescent="0.3">
      <c r="A1" s="1" t="s">
        <v>115</v>
      </c>
      <c r="B1" s="1" t="s">
        <v>117</v>
      </c>
      <c r="C1" s="1" t="s">
        <v>118</v>
      </c>
      <c r="D1" s="1"/>
    </row>
    <row r="2" spans="1:4" x14ac:dyDescent="0.3">
      <c r="A2" t="s">
        <v>53</v>
      </c>
      <c r="B2" t="s">
        <v>119</v>
      </c>
      <c r="C2">
        <v>133</v>
      </c>
    </row>
    <row r="3" spans="1:4" x14ac:dyDescent="0.3">
      <c r="A3" t="s">
        <v>53</v>
      </c>
      <c r="B3" t="s">
        <v>120</v>
      </c>
      <c r="C3">
        <v>-94</v>
      </c>
    </row>
    <row r="4" spans="1:4" x14ac:dyDescent="0.3">
      <c r="A4" t="s">
        <v>18</v>
      </c>
      <c r="B4" t="s">
        <v>119</v>
      </c>
      <c r="C4">
        <v>171</v>
      </c>
    </row>
    <row r="5" spans="1:4" x14ac:dyDescent="0.3">
      <c r="A5" t="s">
        <v>18</v>
      </c>
      <c r="B5" t="s">
        <v>120</v>
      </c>
      <c r="C5">
        <v>0</v>
      </c>
    </row>
    <row r="6" spans="1:4" x14ac:dyDescent="0.3">
      <c r="A6" t="s">
        <v>54</v>
      </c>
      <c r="B6" t="s">
        <v>119</v>
      </c>
      <c r="C6">
        <v>175</v>
      </c>
    </row>
    <row r="7" spans="1:4" x14ac:dyDescent="0.3">
      <c r="A7" t="s">
        <v>54</v>
      </c>
      <c r="B7" t="s">
        <v>120</v>
      </c>
      <c r="C7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Insights</vt:lpstr>
      <vt:lpstr>Apple_SEC_Data</vt:lpstr>
      <vt:lpstr>Forecast</vt:lpstr>
      <vt:lpstr>Tableau_Dashboard</vt:lpstr>
      <vt:lpstr>Attribution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Sithole</dc:creator>
  <cp:lastModifiedBy>Troy Sithole</cp:lastModifiedBy>
  <dcterms:created xsi:type="dcterms:W3CDTF">2026-04-12T21:41:49Z</dcterms:created>
  <dcterms:modified xsi:type="dcterms:W3CDTF">2026-05-20T15:57:28Z</dcterms:modified>
</cp:coreProperties>
</file>